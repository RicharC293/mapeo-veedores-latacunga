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richarcangui/Downloads/"/>
    </mc:Choice>
  </mc:AlternateContent>
  <xr:revisionPtr revIDLastSave="0" documentId="13_ncr:1_{F2B5F3AA-D076-0E45-8086-570B12E7A174}" xr6:coauthVersionLast="47" xr6:coauthVersionMax="47" xr10:uidLastSave="{00000000-0000-0000-0000-000000000000}"/>
  <bookViews>
    <workbookView xWindow="0" yWindow="580" windowWidth="29920" windowHeight="18760" activeTab="9" xr2:uid="{00000000-000D-0000-FFFF-FFFF00000000}"/>
  </bookViews>
  <sheets>
    <sheet name="Índice" sheetId="1" r:id="rId1"/>
    <sheet name="Eloy Alfaro (San Felipe)" sheetId="2" r:id="rId2"/>
    <sheet name="Ignacio Flores" sheetId="3" r:id="rId3"/>
    <sheet name="Juan Montalvo (San Sebastián)" sheetId="4" r:id="rId4"/>
    <sheet name="La Matriz" sheetId="5" r:id="rId5"/>
    <sheet name="San Buenaventura" sheetId="6" r:id="rId6"/>
    <sheet name="Aláquez" sheetId="7" r:id="rId7"/>
    <sheet name="Belisario Quevedo" sheetId="8" r:id="rId8"/>
    <sheet name="Guaytacama" sheetId="9" r:id="rId9"/>
    <sheet name="Joséguango Bajo (Santa Marianit" sheetId="10" r:id="rId10"/>
    <sheet name="Mulaló" sheetId="11" r:id="rId11"/>
    <sheet name="Once de Noviembre (Ilinchisí)" sheetId="12" r:id="rId12"/>
    <sheet name="Poaló" sheetId="13" r:id="rId13"/>
    <sheet name="San Juan de Pastocalle" sheetId="14" r:id="rId14"/>
    <sheet name="Tanicuchí" sheetId="15" r:id="rId15"/>
    <sheet name="Toacaso" sheetId="16" r:id="rId16"/>
    <sheet name="Verificado" sheetId="17" r:id="rId17"/>
    <sheet name="Notas" sheetId="18" state="hidden" r:id="rId18"/>
    <sheet name="Historial_Ediciones" sheetId="19" state="hidden" r:id="rId19"/>
    <sheet name="Historial_Accesos" sheetId="20" state="hidden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4" i="17" l="1"/>
  <c r="N74" i="17" s="1"/>
  <c r="H74" i="17"/>
  <c r="L74" i="17" s="1"/>
  <c r="F74" i="17"/>
  <c r="J73" i="17"/>
  <c r="N73" i="17" s="1"/>
  <c r="H73" i="17"/>
  <c r="L73" i="17" s="1"/>
  <c r="F73" i="17"/>
  <c r="P73" i="17" s="1"/>
  <c r="J72" i="17"/>
  <c r="N72" i="17" s="1"/>
  <c r="H72" i="17"/>
  <c r="L72" i="17" s="1"/>
  <c r="F72" i="17"/>
  <c r="P72" i="17" s="1"/>
  <c r="L71" i="17"/>
  <c r="J71" i="17"/>
  <c r="N71" i="17" s="1"/>
  <c r="H71" i="17"/>
  <c r="F71" i="17"/>
  <c r="N70" i="17"/>
  <c r="L70" i="17"/>
  <c r="J70" i="17"/>
  <c r="H70" i="17"/>
  <c r="F70" i="17"/>
  <c r="P70" i="17" s="1"/>
  <c r="J69" i="17"/>
  <c r="N69" i="17" s="1"/>
  <c r="H69" i="17"/>
  <c r="L69" i="17" s="1"/>
  <c r="F69" i="17"/>
  <c r="J68" i="17"/>
  <c r="N68" i="17" s="1"/>
  <c r="H68" i="17"/>
  <c r="L68" i="17" s="1"/>
  <c r="P68" i="17" s="1"/>
  <c r="F68" i="17"/>
  <c r="J67" i="17"/>
  <c r="N67" i="17" s="1"/>
  <c r="H67" i="17"/>
  <c r="L67" i="17" s="1"/>
  <c r="F67" i="17"/>
  <c r="P67" i="17" s="1"/>
  <c r="N66" i="17"/>
  <c r="L66" i="17"/>
  <c r="J66" i="17"/>
  <c r="H66" i="17"/>
  <c r="F66" i="17"/>
  <c r="P66" i="17" s="1"/>
  <c r="N65" i="17"/>
  <c r="L65" i="17"/>
  <c r="J65" i="17"/>
  <c r="H65" i="17"/>
  <c r="F65" i="17"/>
  <c r="P65" i="17" s="1"/>
  <c r="C19" i="17" s="1"/>
  <c r="F19" i="17" s="1"/>
  <c r="J64" i="17"/>
  <c r="N64" i="17" s="1"/>
  <c r="H64" i="17"/>
  <c r="L64" i="17" s="1"/>
  <c r="F64" i="17"/>
  <c r="P64" i="17" s="1"/>
  <c r="J63" i="17"/>
  <c r="N63" i="17" s="1"/>
  <c r="H63" i="17"/>
  <c r="L63" i="17" s="1"/>
  <c r="P63" i="17" s="1"/>
  <c r="F63" i="17"/>
  <c r="N62" i="17"/>
  <c r="J62" i="17"/>
  <c r="H62" i="17"/>
  <c r="L62" i="17" s="1"/>
  <c r="F62" i="17"/>
  <c r="P62" i="17" s="1"/>
  <c r="C17" i="17" s="1"/>
  <c r="F17" i="17" s="1"/>
  <c r="N61" i="17"/>
  <c r="L61" i="17"/>
  <c r="J61" i="17"/>
  <c r="H61" i="17"/>
  <c r="F61" i="17"/>
  <c r="P61" i="17" s="1"/>
  <c r="N60" i="17"/>
  <c r="L60" i="17"/>
  <c r="J60" i="17"/>
  <c r="H60" i="17"/>
  <c r="F60" i="17"/>
  <c r="P60" i="17" s="1"/>
  <c r="J59" i="17"/>
  <c r="N59" i="17" s="1"/>
  <c r="H59" i="17"/>
  <c r="L59" i="17" s="1"/>
  <c r="F59" i="17"/>
  <c r="P59" i="17" s="1"/>
  <c r="C16" i="17" s="1"/>
  <c r="F16" i="17" s="1"/>
  <c r="J58" i="17"/>
  <c r="N58" i="17" s="1"/>
  <c r="H58" i="17"/>
  <c r="L58" i="17" s="1"/>
  <c r="P58" i="17" s="1"/>
  <c r="C15" i="17" s="1"/>
  <c r="F15" i="17" s="1"/>
  <c r="F58" i="17"/>
  <c r="N57" i="17"/>
  <c r="J57" i="17"/>
  <c r="H57" i="17"/>
  <c r="L57" i="17" s="1"/>
  <c r="F57" i="17"/>
  <c r="P57" i="17" s="1"/>
  <c r="C14" i="17" s="1"/>
  <c r="F14" i="17" s="1"/>
  <c r="N56" i="17"/>
  <c r="L56" i="17"/>
  <c r="J56" i="17"/>
  <c r="H56" i="17"/>
  <c r="F56" i="17"/>
  <c r="P56" i="17" s="1"/>
  <c r="N55" i="17"/>
  <c r="L55" i="17"/>
  <c r="J55" i="17"/>
  <c r="H55" i="17"/>
  <c r="F55" i="17"/>
  <c r="P55" i="17" s="1"/>
  <c r="C13" i="17" s="1"/>
  <c r="F13" i="17" s="1"/>
  <c r="J54" i="17"/>
  <c r="N54" i="17" s="1"/>
  <c r="H54" i="17"/>
  <c r="L54" i="17" s="1"/>
  <c r="F54" i="17"/>
  <c r="P54" i="17" s="1"/>
  <c r="J53" i="17"/>
  <c r="N53" i="17" s="1"/>
  <c r="H53" i="17"/>
  <c r="L53" i="17" s="1"/>
  <c r="P53" i="17" s="1"/>
  <c r="F53" i="17"/>
  <c r="N52" i="17"/>
  <c r="J52" i="17"/>
  <c r="H52" i="17"/>
  <c r="L52" i="17" s="1"/>
  <c r="F52" i="17"/>
  <c r="P52" i="17" s="1"/>
  <c r="N51" i="17"/>
  <c r="L51" i="17"/>
  <c r="J51" i="17"/>
  <c r="H51" i="17"/>
  <c r="F51" i="17"/>
  <c r="P51" i="17" s="1"/>
  <c r="N50" i="17"/>
  <c r="L50" i="17"/>
  <c r="J50" i="17"/>
  <c r="H50" i="17"/>
  <c r="F50" i="17"/>
  <c r="P50" i="17" s="1"/>
  <c r="J49" i="17"/>
  <c r="N49" i="17" s="1"/>
  <c r="H49" i="17"/>
  <c r="L49" i="17" s="1"/>
  <c r="F49" i="17"/>
  <c r="J48" i="17"/>
  <c r="N48" i="17" s="1"/>
  <c r="H48" i="17"/>
  <c r="L48" i="17" s="1"/>
  <c r="P48" i="17" s="1"/>
  <c r="F48" i="17"/>
  <c r="J47" i="17"/>
  <c r="N47" i="17" s="1"/>
  <c r="H47" i="17"/>
  <c r="L47" i="17" s="1"/>
  <c r="F47" i="17"/>
  <c r="P47" i="17" s="1"/>
  <c r="N46" i="17"/>
  <c r="L46" i="17"/>
  <c r="J46" i="17"/>
  <c r="H46" i="17"/>
  <c r="F46" i="17"/>
  <c r="P46" i="17" s="1"/>
  <c r="N45" i="17"/>
  <c r="L45" i="17"/>
  <c r="J45" i="17"/>
  <c r="H45" i="17"/>
  <c r="F45" i="17"/>
  <c r="P45" i="17" s="1"/>
  <c r="J44" i="17"/>
  <c r="N44" i="17" s="1"/>
  <c r="H44" i="17"/>
  <c r="L44" i="17" s="1"/>
  <c r="P44" i="17" s="1"/>
  <c r="F44" i="17"/>
  <c r="J43" i="17"/>
  <c r="N43" i="17" s="1"/>
  <c r="H43" i="17"/>
  <c r="F43" i="17"/>
  <c r="J42" i="17"/>
  <c r="N42" i="17" s="1"/>
  <c r="H42" i="17"/>
  <c r="L42" i="17" s="1"/>
  <c r="F42" i="17"/>
  <c r="N41" i="17"/>
  <c r="L41" i="17"/>
  <c r="J41" i="17"/>
  <c r="H41" i="17"/>
  <c r="F41" i="17"/>
  <c r="P41" i="17" s="1"/>
  <c r="N40" i="17"/>
  <c r="L40" i="17"/>
  <c r="J40" i="17"/>
  <c r="H40" i="17"/>
  <c r="F40" i="17"/>
  <c r="P40" i="17" s="1"/>
  <c r="J39" i="17"/>
  <c r="N39" i="17" s="1"/>
  <c r="H39" i="17"/>
  <c r="L39" i="17" s="1"/>
  <c r="P39" i="17" s="1"/>
  <c r="F39" i="17"/>
  <c r="J38" i="17"/>
  <c r="N38" i="17" s="1"/>
  <c r="H38" i="17"/>
  <c r="F38" i="17"/>
  <c r="J37" i="17"/>
  <c r="N37" i="17" s="1"/>
  <c r="H37" i="17"/>
  <c r="L37" i="17" s="1"/>
  <c r="F37" i="17"/>
  <c r="N36" i="17"/>
  <c r="L36" i="17"/>
  <c r="J36" i="17"/>
  <c r="H36" i="17"/>
  <c r="F36" i="17"/>
  <c r="P36" i="17" s="1"/>
  <c r="N35" i="17"/>
  <c r="L35" i="17"/>
  <c r="J35" i="17"/>
  <c r="H35" i="17"/>
  <c r="F35" i="17"/>
  <c r="P35" i="17" s="1"/>
  <c r="J34" i="17"/>
  <c r="N34" i="17" s="1"/>
  <c r="H34" i="17"/>
  <c r="L34" i="17" s="1"/>
  <c r="P34" i="17" s="1"/>
  <c r="F34" i="17"/>
  <c r="J33" i="17"/>
  <c r="N33" i="17" s="1"/>
  <c r="H33" i="17"/>
  <c r="F33" i="17"/>
  <c r="J32" i="17"/>
  <c r="N32" i="17" s="1"/>
  <c r="H32" i="17"/>
  <c r="L32" i="17" s="1"/>
  <c r="F32" i="17"/>
  <c r="P32" i="17" s="1"/>
  <c r="N31" i="17"/>
  <c r="L31" i="17"/>
  <c r="J31" i="17"/>
  <c r="H31" i="17"/>
  <c r="F31" i="17"/>
  <c r="P31" i="17" s="1"/>
  <c r="N30" i="17"/>
  <c r="L30" i="17"/>
  <c r="J30" i="17"/>
  <c r="H30" i="17"/>
  <c r="F30" i="17"/>
  <c r="P30" i="17" s="1"/>
  <c r="J29" i="17"/>
  <c r="N29" i="17" s="1"/>
  <c r="H29" i="17"/>
  <c r="L29" i="17" s="1"/>
  <c r="F29" i="17"/>
  <c r="J28" i="17"/>
  <c r="N28" i="17" s="1"/>
  <c r="H28" i="17"/>
  <c r="F28" i="17"/>
  <c r="J27" i="17"/>
  <c r="N27" i="17" s="1"/>
  <c r="H27" i="17"/>
  <c r="F27" i="17"/>
  <c r="N26" i="17"/>
  <c r="L26" i="17"/>
  <c r="J26" i="17"/>
  <c r="H26" i="17"/>
  <c r="F26" i="17"/>
  <c r="P26" i="17" s="1"/>
  <c r="E21" i="17"/>
  <c r="D21" i="17"/>
  <c r="B21" i="17"/>
  <c r="E20" i="17"/>
  <c r="D20" i="17"/>
  <c r="B20" i="17"/>
  <c r="E19" i="17"/>
  <c r="D19" i="17"/>
  <c r="B19" i="17"/>
  <c r="E18" i="17"/>
  <c r="D18" i="17"/>
  <c r="B18" i="17"/>
  <c r="E17" i="17"/>
  <c r="D17" i="17"/>
  <c r="B17" i="17"/>
  <c r="E16" i="17"/>
  <c r="D16" i="17"/>
  <c r="B16" i="17"/>
  <c r="E15" i="17"/>
  <c r="D15" i="17"/>
  <c r="B15" i="17"/>
  <c r="E14" i="17"/>
  <c r="D14" i="17"/>
  <c r="B14" i="17"/>
  <c r="E13" i="17"/>
  <c r="D13" i="17"/>
  <c r="B13" i="17"/>
  <c r="E12" i="17"/>
  <c r="D12" i="17"/>
  <c r="B12" i="17"/>
  <c r="E11" i="17"/>
  <c r="D11" i="17"/>
  <c r="B11" i="17"/>
  <c r="E10" i="17"/>
  <c r="D10" i="17"/>
  <c r="B10" i="17"/>
  <c r="E9" i="17"/>
  <c r="D9" i="17"/>
  <c r="B9" i="17"/>
  <c r="E8" i="17"/>
  <c r="D8" i="17"/>
  <c r="D22" i="17" s="1"/>
  <c r="B8" i="17"/>
  <c r="E7" i="17"/>
  <c r="E22" i="17" s="1"/>
  <c r="D7" i="17"/>
  <c r="B7" i="17"/>
  <c r="B22" i="17" s="1"/>
  <c r="P29" i="17" l="1"/>
  <c r="P42" i="17"/>
  <c r="P37" i="17"/>
  <c r="P71" i="17"/>
  <c r="P74" i="17"/>
  <c r="C21" i="17" s="1"/>
  <c r="F21" i="17" s="1"/>
  <c r="P49" i="17"/>
  <c r="C11" i="17"/>
  <c r="F11" i="17" s="1"/>
  <c r="C12" i="17"/>
  <c r="F12" i="17" s="1"/>
  <c r="C18" i="17"/>
  <c r="F18" i="17" s="1"/>
  <c r="P27" i="17"/>
  <c r="P43" i="17"/>
  <c r="C10" i="17" s="1"/>
  <c r="F10" i="17" s="1"/>
  <c r="P69" i="17"/>
  <c r="C20" i="17" s="1"/>
  <c r="F20" i="17" s="1"/>
  <c r="L28" i="17"/>
  <c r="P28" i="17" s="1"/>
  <c r="L33" i="17"/>
  <c r="P33" i="17" s="1"/>
  <c r="C8" i="17" s="1"/>
  <c r="F8" i="17" s="1"/>
  <c r="L38" i="17"/>
  <c r="P38" i="17" s="1"/>
  <c r="C9" i="17" s="1"/>
  <c r="F9" i="17" s="1"/>
  <c r="L43" i="17"/>
  <c r="L27" i="17"/>
  <c r="C7" i="17" l="1"/>
  <c r="F7" i="17" l="1"/>
  <c r="C22" i="17"/>
  <c r="F22" i="17" s="1"/>
</calcChain>
</file>

<file path=xl/sharedStrings.xml><?xml version="1.0" encoding="utf-8"?>
<sst xmlns="http://schemas.openxmlformats.org/spreadsheetml/2006/main" count="1776" uniqueCount="388">
  <si>
    <t>Veedores y Coordinadores por Recinto – Cantón Latacunga</t>
  </si>
  <si>
    <t>Recintos y juntas: CNE, Distributivo de Recintos Electorales, corte al 11 de agosto de 2026 (Seccionales y CPCCS 2027)</t>
  </si>
  <si>
    <t>Parroquia</t>
  </si>
  <si>
    <t>Tipo</t>
  </si>
  <si>
    <t>N° recintos</t>
  </si>
  <si>
    <t>N° juntas (JRV)</t>
  </si>
  <si>
    <t>Eloy Alfaro (San Felipe)</t>
  </si>
  <si>
    <t>Urbana</t>
  </si>
  <si>
    <t>Ignacio Flores</t>
  </si>
  <si>
    <t>Juan Montalvo (San Sebastián)</t>
  </si>
  <si>
    <t>La Matriz</t>
  </si>
  <si>
    <t>San Buenaventura</t>
  </si>
  <si>
    <t>Aláquez</t>
  </si>
  <si>
    <t>Rural</t>
  </si>
  <si>
    <t>Belisario Quevedo</t>
  </si>
  <si>
    <t>Guaytacama</t>
  </si>
  <si>
    <t>Joséguango Bajo (Santa Marianita)</t>
  </si>
  <si>
    <t>Mulaló</t>
  </si>
  <si>
    <t>Once de Noviembre (Ilinchisí)</t>
  </si>
  <si>
    <t>Poaló</t>
  </si>
  <si>
    <t>San Juan de Pastocalle</t>
  </si>
  <si>
    <t>Tanicuchí</t>
  </si>
  <si>
    <t>Toacaso</t>
  </si>
  <si>
    <t>TOTAL LATACUNGA</t>
  </si>
  <si>
    <t>La numeración de juntas (N° JRV) sigue exactamente al CNE. Ver la pestaña "Verificado" para el cruce recinto por recinto.</t>
  </si>
  <si>
    <t>Parroquia Eloy Alfaro (San Felipe) — Cantón Latacunga</t>
  </si>
  <si>
    <t>COORDINADORES POR RECINTO</t>
  </si>
  <si>
    <t>N°</t>
  </si>
  <si>
    <t>Recinto electoral</t>
  </si>
  <si>
    <t>Dirección</t>
  </si>
  <si>
    <t>N° de Juntas (JRV)</t>
  </si>
  <si>
    <t>N° de electores</t>
  </si>
  <si>
    <t>Nombre del coordinador</t>
  </si>
  <si>
    <t>Cédula</t>
  </si>
  <si>
    <t>Teléfono</t>
  </si>
  <si>
    <t>Observaciones</t>
  </si>
  <si>
    <t>ESC. DE EDUCACION BASICA CLUB ROTARIO</t>
  </si>
  <si>
    <t>ALBERTO VAREA QUEVEDO Y DEMETRIO AGUILERA MALTA</t>
  </si>
  <si>
    <t>U.E. JORGE ICAZA</t>
  </si>
  <si>
    <t>TANICUCHI Y SAQUISILI- SALCEDO</t>
  </si>
  <si>
    <t>U.E. JUAN ABEL ECHEVERRIA</t>
  </si>
  <si>
    <t>AV SIMON RODRIGUEZ Y HONDURAS</t>
  </si>
  <si>
    <t>U. E. LIC. JAIME ANDRADE FABARA</t>
  </si>
  <si>
    <t>RIO YANAYACHO Y RIO PITA</t>
  </si>
  <si>
    <t>U.E. MONSEÑOR LEONIDAS PROAÑO/LATACUNGA</t>
  </si>
  <si>
    <t>AV INDOAMÉRICA Y MEXICO</t>
  </si>
  <si>
    <t>U.E. ANA PAEZ MANUEL SALCEDO/ ESCUELA MANUEL SALCEDO</t>
  </si>
  <si>
    <t>AV. IVERO AMERICANO Y AV. 5 DE JUNIO</t>
  </si>
  <si>
    <t>U.E. ANA PAEZ MANUEL SALCEDO/ ESCUELA ANA PAEZ</t>
  </si>
  <si>
    <t>AV. MANUEL TERAN AV. 5 DE JUNIO</t>
  </si>
  <si>
    <t>VEEDORES POR JUNTA RECEPTORA DEL VOTO (JRV)</t>
  </si>
  <si>
    <t>N° JRV</t>
  </si>
  <si>
    <t>Nombre del veedor</t>
  </si>
  <si>
    <t>1F</t>
  </si>
  <si>
    <t>2F</t>
  </si>
  <si>
    <t>3F</t>
  </si>
  <si>
    <t>4F</t>
  </si>
  <si>
    <t>5F</t>
  </si>
  <si>
    <t>6F</t>
  </si>
  <si>
    <t>7F</t>
  </si>
  <si>
    <t>1M</t>
  </si>
  <si>
    <t>2M</t>
  </si>
  <si>
    <t>3M</t>
  </si>
  <si>
    <t>4M</t>
  </si>
  <si>
    <t>5M</t>
  </si>
  <si>
    <t>8F</t>
  </si>
  <si>
    <t>9F</t>
  </si>
  <si>
    <t>10F</t>
  </si>
  <si>
    <t>11F</t>
  </si>
  <si>
    <t>12F</t>
  </si>
  <si>
    <t>13F</t>
  </si>
  <si>
    <t>6M</t>
  </si>
  <si>
    <t>7M</t>
  </si>
  <si>
    <t>8M</t>
  </si>
  <si>
    <t>9M</t>
  </si>
  <si>
    <t>10M</t>
  </si>
  <si>
    <t>11M</t>
  </si>
  <si>
    <t>14F</t>
  </si>
  <si>
    <t>15F</t>
  </si>
  <si>
    <t>16F</t>
  </si>
  <si>
    <t>17F</t>
  </si>
  <si>
    <t>18F</t>
  </si>
  <si>
    <t>19F</t>
  </si>
  <si>
    <t>20F</t>
  </si>
  <si>
    <t>12M</t>
  </si>
  <si>
    <t>13M</t>
  </si>
  <si>
    <t>14M</t>
  </si>
  <si>
    <t>15M</t>
  </si>
  <si>
    <t>16M</t>
  </si>
  <si>
    <t>17M</t>
  </si>
  <si>
    <t>21F</t>
  </si>
  <si>
    <t>22F</t>
  </si>
  <si>
    <t>23F</t>
  </si>
  <si>
    <t>24F</t>
  </si>
  <si>
    <t>25F</t>
  </si>
  <si>
    <t>26F</t>
  </si>
  <si>
    <t>18M</t>
  </si>
  <si>
    <t>19M</t>
  </si>
  <si>
    <t>20M</t>
  </si>
  <si>
    <t>21M</t>
  </si>
  <si>
    <t>22M</t>
  </si>
  <si>
    <t>23M</t>
  </si>
  <si>
    <t>27F</t>
  </si>
  <si>
    <t>28F</t>
  </si>
  <si>
    <t>29F</t>
  </si>
  <si>
    <t>30F</t>
  </si>
  <si>
    <t>24M</t>
  </si>
  <si>
    <t>25M</t>
  </si>
  <si>
    <t>26M</t>
  </si>
  <si>
    <t>27M</t>
  </si>
  <si>
    <t>31F</t>
  </si>
  <si>
    <t>32F</t>
  </si>
  <si>
    <t>33F</t>
  </si>
  <si>
    <t>34F</t>
  </si>
  <si>
    <t>35F</t>
  </si>
  <si>
    <t>28M</t>
  </si>
  <si>
    <t>29M</t>
  </si>
  <si>
    <t>30M</t>
  </si>
  <si>
    <t>31M</t>
  </si>
  <si>
    <t>32M</t>
  </si>
  <si>
    <t>36F</t>
  </si>
  <si>
    <t>37F</t>
  </si>
  <si>
    <t>38F</t>
  </si>
  <si>
    <t>39F</t>
  </si>
  <si>
    <t>40F</t>
  </si>
  <si>
    <t>41F</t>
  </si>
  <si>
    <t>42F</t>
  </si>
  <si>
    <t>43F</t>
  </si>
  <si>
    <t>44F</t>
  </si>
  <si>
    <t>45F</t>
  </si>
  <si>
    <t>46F</t>
  </si>
  <si>
    <t>47F</t>
  </si>
  <si>
    <t>33M</t>
  </si>
  <si>
    <t>34M</t>
  </si>
  <si>
    <t>35M</t>
  </si>
  <si>
    <t>36M</t>
  </si>
  <si>
    <t>37M</t>
  </si>
  <si>
    <t>38M</t>
  </si>
  <si>
    <t>39M</t>
  </si>
  <si>
    <t>40M</t>
  </si>
  <si>
    <t>41M</t>
  </si>
  <si>
    <t>42M</t>
  </si>
  <si>
    <t>43M</t>
  </si>
  <si>
    <t>44M</t>
  </si>
  <si>
    <t>Parroquia Ignacio Flores — Cantón Latacunga</t>
  </si>
  <si>
    <t>U.E. LUIS FERNANDO RUIZ</t>
  </si>
  <si>
    <t>AV. TRAJANO NARANJO Y 11 DE NOVIEMBRE</t>
  </si>
  <si>
    <t>U.E. 11 DE NOVIEMBRE</t>
  </si>
  <si>
    <t>SANTIAGO ZAMORA Y AV. RUMIÑAHUI Y ATAHUALPA</t>
  </si>
  <si>
    <t>U.E. JOSE MARIA VELASCO IBARRA</t>
  </si>
  <si>
    <t>QUITO Y ATAHUALPA</t>
  </si>
  <si>
    <t>UNIDAD EDUCATIVA RAMON BARBA NARANJO/ CENTRO</t>
  </si>
  <si>
    <t>AV. UNIDAD NACIONAL Y AV. RUMIÑAHUI</t>
  </si>
  <si>
    <t>UNIDAD EDUCATIVA INTERCULTURAL BILINGUE SUMAK KAWSAY</t>
  </si>
  <si>
    <t>VIA PALOPO</t>
  </si>
  <si>
    <t>Parroquia Juan Montalvo (San Sebastián) — Cantón Latacunga</t>
  </si>
  <si>
    <t>U.E. VICENTE LEON (LA COCHA)</t>
  </si>
  <si>
    <t>AV. TAHUANTINSUYO Y CARANQUIS</t>
  </si>
  <si>
    <t>UNIDAD EDUCATIVA JOSÉ MARÍA VELAZ</t>
  </si>
  <si>
    <t>ISLA SEYMOUR Y GUAYAQUIL</t>
  </si>
  <si>
    <t>UNIDAD EDUCATIVA LUIS FERNANDO VIVERO</t>
  </si>
  <si>
    <t>CALLE ISLA SEYMOUR Y JUAN ABEL ECHEVERIA</t>
  </si>
  <si>
    <t>U.E. SEMILLITAS DE VIDA</t>
  </si>
  <si>
    <t>GRAL. PROAÑO Y QUIJANO Y ORDOÑEZ</t>
  </si>
  <si>
    <t>SINDICATO DE CHOFERES DE COTOPAXI</t>
  </si>
  <si>
    <t>QUIJANO Y ORDOÑEZ Y FELIZ VALENCIA</t>
  </si>
  <si>
    <t>Parroquia La Matriz — Cantón Latacunga</t>
  </si>
  <si>
    <t>U.E. LA INMACULADA</t>
  </si>
  <si>
    <t>ANTONIA VELA Y TARQUI</t>
  </si>
  <si>
    <t>U.E. PCEI VICENTE LEÓN Y ARGUELLES / COL. VICENTE LEON DEL CENTRO</t>
  </si>
  <si>
    <t>BELISARIO QUEVEDO Y GRAL. PROAÑO</t>
  </si>
  <si>
    <t>U.E. PARTICULAR SAN JOSE LA SALLE</t>
  </si>
  <si>
    <t>QUIJANO Y ORDOÑEZ Y GRAL. MALDONADO</t>
  </si>
  <si>
    <t>U.E. VICTORIA VASCONEZ CUVI</t>
  </si>
  <si>
    <t>FELIX VALENCIA Y SANCHEZ DE ORELLANA ENTRE QUITO</t>
  </si>
  <si>
    <t>U. E. ISIDRO AYORA</t>
  </si>
  <si>
    <t>QUIJANO Y ORDOÑEZ Y TARQUI</t>
  </si>
  <si>
    <t>U.E. PRIMERO DE ABRIL</t>
  </si>
  <si>
    <t>AV.ORIENTE Y HERMANAS PAEZ</t>
  </si>
  <si>
    <t>U.E. VICTORIA VASCONEZ CUVI / ELVIRA ORTEGA - SUR</t>
  </si>
  <si>
    <t>SANCHEZ DE ORELLANA Y FELIX VALENCIA Y QUITO</t>
  </si>
  <si>
    <t>U.E. VASCONEZ CUVI / SIMON BOLIVAR BLOQUE NORTE</t>
  </si>
  <si>
    <t>CALIXTO PINO Y SANCHEZ DE ORELLANA</t>
  </si>
  <si>
    <t>Parroquia San Buenaventura — Cantón Latacunga</t>
  </si>
  <si>
    <t>ESC. DE EDUCACION BASICA NUMA POMPILIO LLONA</t>
  </si>
  <si>
    <t>SAN BARTOLOME Y AV. SAN AGUSTIN</t>
  </si>
  <si>
    <t>U.E. 14 DE JULIO - JUAN ABEL ECHEVERRIA</t>
  </si>
  <si>
    <t>AV. MIGUEL ITURRALDE Y LAS AGUILAS</t>
  </si>
  <si>
    <t>Parroquia Aláquez — Cantón Latacunga</t>
  </si>
  <si>
    <t>U.E. MANUEL GONZALO ALBAN RUMAZO / ESC. ABDON CALDERON</t>
  </si>
  <si>
    <t>VICENTE LEON Y ARCENTALES</t>
  </si>
  <si>
    <t>U.E. MANUEL GONZALO ALBÁN RUMAZO - BLOQUE DOS</t>
  </si>
  <si>
    <t>MANUEL ARCENTALES ALBERTO YANEZ</t>
  </si>
  <si>
    <t>Parroquia Belisario Quevedo — Cantón Latacunga</t>
  </si>
  <si>
    <t>U.E. BELISARIO QUEVEDO</t>
  </si>
  <si>
    <t>24 DE MAYO Y DR. RAUL LEON MENDEZ</t>
  </si>
  <si>
    <t>U.E. BELISARIO QUEVEDO / BLOQUE DOS</t>
  </si>
  <si>
    <t>BRUNO ZAMBONINO Y 24 DE MAYO</t>
  </si>
  <si>
    <t>Parroquia Guaytacama — Cantón Latacunga</t>
  </si>
  <si>
    <t>U.E. SAN JOSE DE GUAYTACAMA</t>
  </si>
  <si>
    <t>JUAN MONTALVO</t>
  </si>
  <si>
    <t>Parroquia Joséguango Bajo (Santa Marianita) — Cantón Latacunga</t>
  </si>
  <si>
    <t>U.E. FELIX VALENCIA</t>
  </si>
  <si>
    <t>Av. de los Incas e Isabel Eastman</t>
  </si>
  <si>
    <t>Parroquia Mulaló — Cantón Latacunga</t>
  </si>
  <si>
    <t>UNIDAD EDUCATIVA MULALO / Esc. JUAN PIO MONTUFAR</t>
  </si>
  <si>
    <t>SAN FRANCISCO 4 DE OCTUBRE</t>
  </si>
  <si>
    <t>UNIDAD EDUCATIVA MULALO / COLEGIO TÉCNICO MULALÓ</t>
  </si>
  <si>
    <t>4 DE OCTUBRE Y RUMIÑAHUI</t>
  </si>
  <si>
    <t>UNIDAD EDUCATIVA MULALO / BLOQUE TRES</t>
  </si>
  <si>
    <t>ATAHUALPA Y LA LIBERTAD</t>
  </si>
  <si>
    <t>Parroquia Once de Noviembre (Ilinchisí) — Cantón Latacunga</t>
  </si>
  <si>
    <t>UNIDAD EDUCATIVA LATACUNGA</t>
  </si>
  <si>
    <t>10 DE AGOSTO Y ILLINCHIZI</t>
  </si>
  <si>
    <t>Parroquia Poaló — Cantón Latacunga</t>
  </si>
  <si>
    <t>GAD PARROQUIAL COLISEO POALO</t>
  </si>
  <si>
    <t>RUPERTO REINOSO Y SEÑOR DE MACAS</t>
  </si>
  <si>
    <t>UNIDAD EDUCATIVA POALO GARCIA MORENO / BLOQUE 2</t>
  </si>
  <si>
    <t>SALACHE Y 19 DE MARZO</t>
  </si>
  <si>
    <t>Parroquia San Juan de Pastocalle — Cantón Latacunga</t>
  </si>
  <si>
    <t>UNIDAD EDUCATIVA COMUNITARIA BILINGUE. EL SEMBRADOR</t>
  </si>
  <si>
    <t>9 DE OCTUBRE Y 24 DE JUNIO</t>
  </si>
  <si>
    <t>U.E. PASTOCALLE / BLOQUE 2</t>
  </si>
  <si>
    <t>24 DE MAYO/PASAJE</t>
  </si>
  <si>
    <t>U.E. PASTOCALLE / COLEGIO PASTOCALLE</t>
  </si>
  <si>
    <t>24 DE MAYO</t>
  </si>
  <si>
    <t>U.E. ATANASIO VITERI KAROLYS</t>
  </si>
  <si>
    <t>CENTRO DE LA COMUNIDAD</t>
  </si>
  <si>
    <t>Parroquia Tanicuchí — Cantón Latacunga</t>
  </si>
  <si>
    <t>U.E. MARCO AURELIO SUBIA MARTINEZ- BATALLA DE PANUPALI / COLEGIO MARCO AURELIO SUBIA MARTINEZ</t>
  </si>
  <si>
    <t>JUAN MANUEL LASSO Y LEONIDAS PLAZA</t>
  </si>
  <si>
    <t>U. E. MARCO AURELIO SUBIA MARTINEZ BATALLA DE PANUPALI / ESC.BATALLA DE PANUPALI</t>
  </si>
  <si>
    <t>CENTRO. INTERCULTURAL COMUNITARIO TANICUCHI</t>
  </si>
  <si>
    <t>LEONIDAS PLAZA Y GENERAL ALBERTO ENRIQUE GALLO</t>
  </si>
  <si>
    <t>Parroquia Toacaso — Cantón Latacunga</t>
  </si>
  <si>
    <t>U.E. TOACASO BLOQUE 3 - ESC. SIMON RODRIGUEZ</t>
  </si>
  <si>
    <t>COTOPAXI Y PICHINCHA</t>
  </si>
  <si>
    <t>U.E. TOACASO - COL. TÉCNICO TOACASO</t>
  </si>
  <si>
    <t>CALLE ORIENTE Y POLICARPA TINAJERO</t>
  </si>
  <si>
    <t>U.E. TOACASO BLOQUE 2</t>
  </si>
  <si>
    <t>PICHINCHA Y COTOPAXI</t>
  </si>
  <si>
    <t>Verificación de Juntas Receptoras del Voto contra el CNE — Cantón Latacunga</t>
  </si>
  <si>
    <t>Fuente: CNE, Distributivo de Recintos Electorales — Elecciones Seccionales y CPCCS 2027, corte al 11 de agosto de 2026. Las columnas "CNE" son datos fijos del distributivo; las columnas "Matriz" se calculan en vivo leyendo cada hoja de parroquia.</t>
  </si>
  <si>
    <t>El CNE numera las juntas por parroquia (y por zona, donde existe), con numeración separada para femeninas (F) y masculinas (M). Cada junta se identifica como 1F, 2F… (femeninas) y 1M, 2M… (masculinas), dentro de su parroquia y zona.</t>
  </si>
  <si>
    <t>RESUMEN POR PARROQUIA</t>
  </si>
  <si>
    <t>Parroquia (hoja)</t>
  </si>
  <si>
    <t>Recintos CNE</t>
  </si>
  <si>
    <t>Recintos verificados</t>
  </si>
  <si>
    <t>Juntas CNE</t>
  </si>
  <si>
    <t>Juntas en matriz</t>
  </si>
  <si>
    <t>Estado</t>
  </si>
  <si>
    <t>Joséguango Bajo (Santa Marianit</t>
  </si>
  <si>
    <t>DETALLE POR RECINTO</t>
  </si>
  <si>
    <t>Zona</t>
  </si>
  <si>
    <t>Código recinto</t>
  </si>
  <si>
    <t>Electores CNE</t>
  </si>
  <si>
    <t>Electores matriz</t>
  </si>
  <si>
    <t>Juntas F CNE</t>
  </si>
  <si>
    <t>Juntas F matriz</t>
  </si>
  <si>
    <t>Juntas M CNE</t>
  </si>
  <si>
    <t>Juntas M matriz</t>
  </si>
  <si>
    <t>JRV F CNE</t>
  </si>
  <si>
    <t>JRV F matriz</t>
  </si>
  <si>
    <t>JRV M CNE</t>
  </si>
  <si>
    <t>JRV M matriz</t>
  </si>
  <si>
    <t>Juntas totales CNE</t>
  </si>
  <si>
    <t>—</t>
  </si>
  <si>
    <t>1F – 7F</t>
  </si>
  <si>
    <t>1M – 5M</t>
  </si>
  <si>
    <t>8F – 13F</t>
  </si>
  <si>
    <t>6M – 11M</t>
  </si>
  <si>
    <t>14F – 20F</t>
  </si>
  <si>
    <t>12M – 17M</t>
  </si>
  <si>
    <t>21F – 26F</t>
  </si>
  <si>
    <t>18M – 23M</t>
  </si>
  <si>
    <t>27F – 30F</t>
  </si>
  <si>
    <t>24M – 27M</t>
  </si>
  <si>
    <t>31F – 35F</t>
  </si>
  <si>
    <t>28M – 32M</t>
  </si>
  <si>
    <t>36F – 47F</t>
  </si>
  <si>
    <t>33M – 44M</t>
  </si>
  <si>
    <t>IGNACIO FLORES</t>
  </si>
  <si>
    <t>1F – 9F</t>
  </si>
  <si>
    <t>1M – 7M</t>
  </si>
  <si>
    <t>10F – 16F</t>
  </si>
  <si>
    <t>8M – 14M</t>
  </si>
  <si>
    <t>17F – 21F</t>
  </si>
  <si>
    <t>15M – 18M</t>
  </si>
  <si>
    <t>22F – 28F</t>
  </si>
  <si>
    <t>19M – 25M</t>
  </si>
  <si>
    <t>PALOPO CENTRO</t>
  </si>
  <si>
    <t>1F – 1F</t>
  </si>
  <si>
    <t>1M – 1M</t>
  </si>
  <si>
    <t>1F – 8F</t>
  </si>
  <si>
    <t>1M – 6M</t>
  </si>
  <si>
    <t>9F – 12F</t>
  </si>
  <si>
    <t>7M – 10M</t>
  </si>
  <si>
    <t>13F – 17F</t>
  </si>
  <si>
    <t>11M – 15M</t>
  </si>
  <si>
    <t>18F – 21F</t>
  </si>
  <si>
    <t>16M – 19M</t>
  </si>
  <si>
    <t>22F – 25F</t>
  </si>
  <si>
    <t>20M – 23M</t>
  </si>
  <si>
    <t>1F – 4F</t>
  </si>
  <si>
    <t>1M – 4M</t>
  </si>
  <si>
    <t>5F – 8F</t>
  </si>
  <si>
    <t>5M – 8M</t>
  </si>
  <si>
    <t>9M – 12M</t>
  </si>
  <si>
    <t>13F – 18F</t>
  </si>
  <si>
    <t>13M – 18M</t>
  </si>
  <si>
    <t>19F – 22F</t>
  </si>
  <si>
    <t>19M – 22M</t>
  </si>
  <si>
    <t>23F – 26F</t>
  </si>
  <si>
    <t>23M – 26M</t>
  </si>
  <si>
    <t>27F – 34F</t>
  </si>
  <si>
    <t>27M – 34M</t>
  </si>
  <si>
    <t>35F – 40F</t>
  </si>
  <si>
    <t>35M – 36M</t>
  </si>
  <si>
    <t>1M – 3M</t>
  </si>
  <si>
    <t>5F – 9F</t>
  </si>
  <si>
    <t>4M – 8M</t>
  </si>
  <si>
    <t>1F – 5F</t>
  </si>
  <si>
    <t>6F – 10F</t>
  </si>
  <si>
    <t>6M – 9M</t>
  </si>
  <si>
    <t>5M – 7M</t>
  </si>
  <si>
    <t>1F – 13F</t>
  </si>
  <si>
    <t>1M – 12M</t>
  </si>
  <si>
    <t>1F – 3F</t>
  </si>
  <si>
    <t>9M – 11M</t>
  </si>
  <si>
    <t>1F – 2F</t>
  </si>
  <si>
    <t>1M – 2M</t>
  </si>
  <si>
    <t>3F – 8F</t>
  </si>
  <si>
    <t>3M – 7M</t>
  </si>
  <si>
    <t>SAN JUAN DE PASTOCALLE</t>
  </si>
  <si>
    <t>10F – 14F</t>
  </si>
  <si>
    <t>9M – 13M</t>
  </si>
  <si>
    <t>LA LIBERTAD</t>
  </si>
  <si>
    <t>1M – 8M</t>
  </si>
  <si>
    <t>9F – 14F</t>
  </si>
  <si>
    <t>9M – 14M</t>
  </si>
  <si>
    <t>15F – 18F</t>
  </si>
  <si>
    <t>15M – 17M</t>
  </si>
  <si>
    <t>6M – 10M</t>
  </si>
  <si>
    <t>11F – 16F</t>
  </si>
  <si>
    <t>Cédulas duplicadas y Google Sheets</t>
  </si>
  <si>
    <t>Cada hoja de parroquia ya trae formato condicional (basado en COUNTIF) que pinta en rojo una cédula repetida DENTRO de esa misma parroquia (coordinadores y veedores). Esta fórmula es estándar, sin rangos con nombre ni INDIRECT, así que normalmente se conserva bien al subir el archivo a Google Sheets, y funciona en tiempo real sin necesidad de ningún script.</t>
  </si>
  <si>
    <t>Para confirmarlo: abre la hoja en Sheets, selecciona la columna Cédula de cualquier parroquia y ve a Formato &gt; Formato condicional; debe aparecer una regla con 'Fórmula personalizada'.</t>
  </si>
  <si>
    <t>AUDITORÍA: coordinadores, veedores y trazabilidad de accesos</t>
  </si>
  <si>
    <t>Las dos acciones del menú Auditar piden una clave antes de ejecutarse: Incluyente2026. Es una barrera básica para evitar que alguien las use por accidente o sin autorización — NO es seguridad real, ya que cualquiera con acceso a Extensiones &gt; Apps Script puede ver la clave en el código.</t>
  </si>
  <si>
    <t>El registro de ACCESOS (quién abre el archivo) es distinto: se guarda automáticamente cada vez que alguien abre el archivo, SIN pedir clave y sin interrumpir a nadie — es solo trazabilidad silenciosa. Para que identifique correctamente a cada persona (y no aparezca como '(usuario no identificado)'), el archivo debe compartirse solo con cuentas específicas autenticadas (Compartir &gt; agregar personas por su correo), no con un enlace público.</t>
  </si>
  <si>
    <t>El script distingue dos cosas distintas dentro de las ediciones:</t>
  </si>
  <si>
    <t>- Un 'registro nuevo': cuando alguien llena por primera vez el nombre de un coordinador (columna F del bloque de coordinadores) o el nombre de un veedor (columna D del bloque de veedores) en una fila que antes estaba vacía. Esto SÍ cuenta como 'coordinador agregado' o 'veedor agregado'.</t>
  </si>
  <si>
    <t>- Una 'edición' cualquiera: cambiar una cédula, teléfono, corregir un nombre ya existente, etc. Esto cuenta para el total de ediciones, pero no como una persona nueva agregada.</t>
  </si>
  <si>
    <t>Con esa distinción, quedan dos hojas de control, ambas OCULTAS por defecto y sin ninguna columna agregada dentro de las hojas de parroquia (clic derecho en la barra de pestañas &gt; 'Mostrar hojas ocultas' para verlas cuando las necesites):</t>
  </si>
  <si>
    <t>- Historial_Ediciones: fecha, usuario, hoja, celda, valor anterior, valor nuevo y el Tipo de registro ('Coordinador nuevo', 'Veedor nuevo' o vacío si es una edición común).</t>
  </si>
  <si>
    <t>- Historial_Accesos: fecha y usuario, una fila cada vez que alguien abre el archivo.</t>
  </si>
  <si>
    <t>- Reporte: se genera con el menú Auditar &gt; 'Generar reporte de actividad' (pide la clave). Muestra, por usuario: coordinadores agregados, veedores agregados, total de ediciones y N° de accesos al archivo — con dos gráficos: uno de coordinadores/veedores por usuario, y otro de accesos por usuario.</t>
  </si>
  <si>
    <t>Instalación (si ya tenías el script anterior, solo reemplázalo completo por este):</t>
  </si>
  <si>
    <t>1. En Google Sheets, ve a Extensiones &gt; Apps Script.</t>
  </si>
  <si>
    <t>2. Borra todo el código actual y pega el código de abajo completo.</t>
  </si>
  <si>
    <t>3. Guarda el proyecto.</t>
  </si>
  <si>
    <t>4. Cierra la pestaña de Apps Script y vuelve a la hoja de cálculo; recárgala (F5).</t>
  </si>
  <si>
    <t>5. Verás el menú 'Auditar'. La primera vez que se abra el archivo o se ejecute cualquier acción, Google pedirá autorización; acéptala con tu cuenta.</t>
  </si>
  <si>
    <t>6. Si ya tenías una hoja 'Historial_Ediciones' de una versión anterior (sin la columna 'Tipo de registro'), bórrala manualmente una vez — el script la vuelve a crear completa en la próxima edición.</t>
  </si>
  <si>
    <t>7. Comparte el archivo únicamente con las personas autorizadas, por su correo (Compartir &gt; agregar personas), y no con un enlace de acceso público — así el registro de accesos y ediciones identifica correctamente a cada usuario.</t>
  </si>
  <si>
    <t>Código para pegar en Apps Script (reemplaza TODO el contenido del editor):</t>
  </si>
  <si>
    <t>function onOpen() {
  SpreadsheetApp.getUi()
  .createMenu('Auditar')
  .addItem('Revisar cédulas duplicadas (todo Latacunga)', 'revisarCedulasDuplicadas')
  .addItem('Generar reporte de actividad', 'generarReporteActividad')
  .addToUi();
  registrarAcceso();
 }
 // ------------------------------------------------------------------
 // AUDITORÍA: registrar cada apertura del archivo (trazabilidad de accesos).
 // Se ejecuta sola al abrir el archivo, sin pedir clave ni interrumpir a
 // quien entra — solo deja constancia de quién y cuándo.
 // ------------------------------------------------------------------
 function registrarAcceso() {
  try {
  var ss = SpreadsheetApp.getActiveSpreadsheet();
  var hoja = ss.getSheetByName('Historial_Accesos');
  if (!hoja) {
  hoja = ss.insertSheet('Historial_Accesos');
  hoja.appendRow(['Fecha y hora', 'Usuario']);
  hoja.getRange(1, 1, 1, 2).setFontWeight('bold').setBackground('#1F4E78').setFontColor('#FFFFFF');
  hoja.hideSheet(); // oculta por defecto, igual que Historial_Ediciones
  }
  var usuario = Session.getActiveUser().getEmail() || '(usuario no identificado)';
  hoja.appendRow([new Date(), usuario]);
  } catch (err) {
  // si falla, no debe impedir que el archivo se abra con normalidad
  }
 }
 // ------------------------------------------------------------------
 // CLAVE DE ACCESO para las acciones del menú Auditar.
 // Nota: esto es una barrera básica (evita clics accidentales), NO es
 // seguridad real: cualquiera con acceso a Extensiones &gt; Apps Script
 // puede ver esta clave en el código.
 // ------------------------------------------------------------------
 function verificarClave() {
  var CLAVE = 'Incluyente2026';
  var ui = SpreadsheetApp.getUi();
  var respuesta = ui.prompt('Acceso restringido', 'Ingresa la clave para continuar:', ui.ButtonSet.OK_CANCEL);
  if (respuesta.getSelectedButton() !== ui.Button.OK) return false;
  if (respuesta.getResponseText() !== CLAVE) {
  ui.alert('Clave incorrecta. Acción cancelada.');
  return false;
  }
  return true;
 }
 // ------------------------------------------------------------------
 // REVISAR CÉDULAS DUPLICADAS (igual que antes)
 // ------------------------------------------------------------------
 function revisarCedulasDuplicadas() {
  if (!verificarClave()) return;
  var ss = SpreadsheetApp.getActiveSpreadsheet();
  var hojasControl = ['Índice', 'Notas', 'Duplicados', 'Historial_Ediciones', 'Historial_Accesos', 'Reporte'];
  var hojas = ss.getSheets().filter(function(s) {
  return hojasControl.indexOf(s.getName()) === -1;
  });
  function leerBloque(sheet, tituloSeccion, colCedula, colNombre, tipo) {
  var encontrado = sheet.createTextFinder(tituloSeccion).matchEntireCell(false).findNext();
  if (!encontrado) return [];
  var headerRow = encontrado.getRow() + 1;
  var dataStart = headerRow + 1;
  var lastRow = sheet.getLastRow();
  if (lastRow &lt; dataStart) return [];
  var maxCol = Math.max(colCedula, colNombre, 2);
  var datos = sheet.getRange(dataStart, 1, lastRow - dataStart + 1, maxCol).getValues();
  var resultados = [];
  for (var i = 0; i &lt; datos.length; i++) {
  var fila = datos[i];
  var recinto = fila[1];
  if (recinto === '' || recinto === null) break;
  var cedula = String(fila[colCedula - 1]).trim();
  var nombre = fila[colNombre - 1];
  if (cedula !== '') {
  resultados.push({ fila: dataStart + i, recinto: recinto, cedula: cedula, nombre: nombre, tipo: tipo });
  }
  }
  return resultados;
  }
  var registros = [];
  hojas.forEach(function(sheet) {
  var coord = leerBloque(sheet, 'COORDINADORES POR RECINTO', 7, 6, 'Coordinador');
  var veed = leerBloque(sheet, 'VEEDORES POR JUNTA RECEPTORA DEL VOTO (JRV)', 5, 4, 'Veedor');
  coord.concat(veed).forEach(function(reg) {
  reg.parroquia = sheet.getName();
  registros.push(reg);
  });
  });
  var porCedula = {};
  registros.forEach(function(reg) {
  if (!porCedula[reg.cedula]) porCedula[reg.cedula] = [];
  porCedula[reg.cedula].push(reg);
  });
  var duplicados = [];
  Object.keys(porCedula).sort().forEach(function(cedula) {
  if (porCedula[cedula].length &gt; 1) {
  porCedula[cedula].forEach(function(reg) { duplicados.push(reg); });
  }
  });
  var hojaDup = ss.getSheetByName('Duplicados');
  if (hojaDup) ss.deleteSheet(hojaDup);
  hojaDup = ss.insertSheet('Duplicados');
  hojaDup.getRange(1, 1).setValue('Reporte de cédulas duplicadas — Cantón Latacunga')
  .setFontWeight('bold').setFontSize(13).setFontColor('#1F4E78');
  hojaDup.getRange(2, 1).setValue('Generado: ' + new Date().toLocaleString())
  .setFontStyle('italic').setFontColor('#666666');
  if (duplicados.length === 0) {
  hojaDup.getRange(4, 1).setValue('No se encontraron cédulas duplicadas.').setFontWeight('bold');
  } else {
  var headers = ['Cédula', 'Parroquia', 'Tipo', 'Recinto electoral', 'Nombre', 'Fila en su hoja'];
  hojaDup.getRange(4, 1, 1, headers.length).setValues([headers])
  .setFontWeight('bold').setFontColor('#FFFFFF').setBackground('#1F4E78');
  var filas = duplicados.map(function(r) {
  return [r.cedula, r.parroquia, r.tipo, r.recinto, r.nombre, r.fila];
  });
  hojaDup.getRange(5, 1, filas.length, headers.length).setValues(filas);
  var nDup = Object.keys(porCedula).filter(function(c) { return porCedula[c].length &gt; 1; }).length;
  hojaDup.getRange(3, 1).setValue('Se encontraron ' + nDup + ' cédula(s) duplicada(s), en ' + filas.length + ' registro(s).')
  .setFontWeight('bold').setFontColor('#C00000');
  hojaDup.autoResizeColumns(1, headers.length);
  }
  hojaDup.setColumnWidth(4, 320);
  ss.setActiveSheet(hojaDup);
  SpreadsheetApp.getUi().alert('Revisión completa. Revisa la hoja "Duplicados".');
 }
 // ------------------------------------------------------------------
 // Ubica en qué bloque (Coordinador/Veedor) cae una fila de una hoja de parroquia,
 // buscando los títulos de sección. Se usa para clasificar cada edición.
 // ------------------------------------------------------------------
 function ubicarBloque(sheet, fila) {
  var coordTitulo = sheet.createTextFinder('COORDINADORES POR RECINTO').matchEntireCell(false).findNext();
  var veedTitulo = sheet.createTextFinder('VEEDORES POR JUNTA RECEPTORA DEL VOTO (JRV)').matchEntireCell(false).findNext();
  if (!coordTitulo || !veedTitulo) return null;
  var coordDataStart = coordTitulo.getRow() + 2;
  var veedTituloRow = veedTitulo.getRow();
  var veedDataStart = veedTituloRow + 2;
  if (fila &gt;= coordDataStart &amp;&amp; fila &lt; veedTituloRow) {
  return { tipo: 'Coordinador', colNombre: 6 }; // columna F
  }
  if (fila &gt;= veedDataStart) {
  return { tipo: 'Veedor', colNombre: 4 }; // columna D
  }
  return null;
 }
 // ------------------------------------------------------------------
 // AUDITORÍA: registrar cada edición de celda, clasificando si es un
 // coordinador o veedor NUEVO (nombre que pasó de vacío a lleno).
 // ------------------------------------------------------------------
 function onEdit(e) {
  try {
  var sheet = e.range.getSheet();
  var nombreHoja = sheet.getName();
  var hojasControl = ['Historial_Ediciones', 'Historial_Accesos', 'Reporte', 'Notas', 'Índice', 'Duplicados'];
  if (hojasControl.indexOf(nombreHoja) !== -1) return;
  var ss = SpreadsheetApp.getActiveSpreadsheet();
  var hoja = ss.getSheetByName('Historial_Ediciones');
  if (!hoja) {
  hoja = ss.insertSheet('Historial_Ediciones');
  hoja.appendRow(['Fecha y hora', 'Usuario', 'Hoja', 'Celda', 'Valor anterior', 'Valor nuevo', 'Tipo de registro']);
  hoja.getRange(1, 1, 1, 7).setFontWeight('bold').setBackground('#1F4E78').setFontColor('#FFFFFF');
  hoja.hideSheet(); // oculta por defecto: no debe estorbar a quien solo llena datos
  }
  var usuario = Session.getActiveUser().getEmail() || '(usuario no identificado)';
  var fila = e.range.getRow();
  var col = e.range.getColumn();
  var anterior = (e.oldValue !== undefined ? e.oldValue : '');
  var nuevo = (e.value !== undefined ? e.value : '');
  var tipoRegistro = '';
  var bloque = ubicarBloque(sheet, fila);
  if (bloque &amp;&amp; col === bloque.colNombre &amp;&amp; (anterior === '' || anterior === undefined) &amp;&amp; nuevo !== '') {
  tipoRegistro = bloque.tipo + ' nuevo'; // "Coordinador nuevo" o "Veedor nuevo"
  }
  hoja.appendRow([new Date(), usuario, nombreHoja, e.range.getA1Notation(), anterior, nuevo, tipoRegistro]);
  } catch (err) {
  // no interrumpir la edición del usuario si el registro falla
  }
 }
 // ------------------------------------------------------------------
 // REPORTE DE ACTIVIDAD: coordinadores agregados, veedores agregados
 // y total de ediciones por usuario, con gráfico.
 // ------------------------------------------------------------------
 function generarReporteActividad() {
  if (!verificarClave()) return;
  var ss = SpreadsheetApp.getActiveSpreadsheet();
  var hojaEd = ss.getSheetByName('Historial_Ediciones');
  var hojaAc = ss.getSheetByName('Historial_Accesos');
  var porUsuario = {}; // usuario -&gt; {coordinadores, veedores, totalEdiciones, accesos}
  function get(u) {
  if (!porUsuario[u]) porUsuario[u] = { coordinadores: 0, veedores: 0, total: 0, accesos: 0 };
  return porUsuario[u];
  }
  if (hojaEd &amp;&amp; hojaEd.getLastRow() &gt; 1) {
  hojaEd.getRange(2, 1, hojaEd.getLastRow() - 1, 7).getValues().forEach(function(fila) {
  var u = fila[1] || '(usuario no identificado)';
  var tipo = fila[6];
  var d = get(u);
  d.total += 1;
  if (tipo === 'Coordinador nuevo') d.coordinadores += 1;
  if (tipo === 'Veedor nuevo') d.veedores += 1;
  });
  }
  if (hojaAc &amp;&amp; hojaAc.getLastRow() &gt; 1) {
  hojaAc.getRange(2, 1, hojaAc.getLastRow() - 1, 2).getValues().forEach(function(fila) {
  var u = fila[1] || '(usuario no identificado)';
  get(u).accesos += 1;
  });
  }
  var hojaRep = ss.getSheetByName('Reporte');
  if (hojaRep) ss.deleteSheet(hojaRep);
  hojaRep = ss.insertSheet('Reporte');
  hojaRep.getRange(1, 1).setValue('Reporte de actividad — Latacunga')
  .setFontWeight('bold').setFontSize(13).setFontColor('#1F4E78');
  hojaRep.getRange(2, 1).setValue('Generado: ' + new Date().toLocaleString())
  .setFontStyle('italic').setFontColor('#666666');
  var headers = ['Usuario', 'Coordinadores agregados', 'Veedores agregados', 'Total de ediciones', 'N° de accesos al archivo'];
  hojaRep.getRange(4, 1, 1, headers.length).setValues([headers])
  .setFontWeight('bold').setBackground('#1F4E78').setFontColor('#FFFFFF');
  var filas = Object.keys(porUsuario).map(function(u) {
  var d = porUsuario[u];
  return [u, d.coordinadores, d.veedores, d.total, d.accesos];
  });
  // Ordenar por total de personas agregadas (coordinadores + veedores), de mayor a menor
  filas.sort(function(a, b) { return (b[1] + b[2]) - (a[1] + a[2]); });
  if (filas.length &gt; 0) {
  hojaRep.getRange(5, 1, filas.length, headers.length).setValues(filas);
  hojaRep.autoResizeColumns(1, headers.length);
  // Gráfico 1: Coordinadores agregados vs Veedores agregados, por usuario
  var rangoUsuarios = hojaRep.getRange(4, 1, filas.length + 1, 1);
  var rangoCoordVeed = hojaRep.getRange(4, 2, filas.length + 1, 2);
  var chart1 = hojaRep.newChart()
  .setChartType(Charts.ChartType.COLUMN)
  .addRange(rangoUsuarios)
  .addRange(rangoCoordVeed)
  .setPosition(filas.length + 8, 1, 0, 0)
  .setOption('title', 'Coordinadores y veedores agregados por usuario')
  .setOption('legend', { position: 'top' })
  .build();
  hojaRep.insertChart(chart1);
  // Gráfico 2: Accesos al archivo por usuario (trazabilidad de quién lo abre)
  var rangoAccesos = hojaRep.getRange(4, 5, filas.length + 1, 1);
  var chart2 = hojaRep.newChart()
  .setChartType(Charts.ChartType.COLUMN)
  .addRange(rangoUsuarios)
  .addRange(rangoAccesos)
  .setPosition(filas.length + 8, 8, 0, 0)
  .setOption('title', 'Accesos al archivo por usuario')
  .setOption('legend', { position: 'none' })
  .build();
  hojaRep.insertChart(chart2);
  } else {
  hojaRep.getRange(5, 1).setValue('Aún no hay actividad registrada.');
  }
  ss.setActiveSheet(hojaRep);
  SpreadsheetApp.getUi().alert('Reporte de actividad generado (hoja "Reporte").');
 }</t>
  </si>
  <si>
    <t>Fecha y hora</t>
  </si>
  <si>
    <t>Usuario</t>
  </si>
  <si>
    <t>Hoja</t>
  </si>
  <si>
    <t>Celda</t>
  </si>
  <si>
    <t>Valor anterior</t>
  </si>
  <si>
    <t>Valor nuevo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</si>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</sst>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17" x14ac:knownFonts="1">
    <font>
      <sz val="11"/>
      <color theme="1"/>
      <name val="Calibri"/>
      <scheme val="minor"/>
    </font>
    <font>
      <b/>
      <sz val="14"/>
      <color rgb="FF1F4E78"/>
      <name val="Arial"/>
      <family val="2"/>
    </font>
    <font>
      <b/>
      <sz val="13"/>
      <color rgb="FF1F4E78"/>
      <name val="Arial"/>
      <family val="2"/>
    </font>
    <font>
      <i/>
      <sz val="10"/>
      <color rgb="FF666666"/>
      <name val="Arial"/>
      <family val="2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mbria"/>
      <family val="1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Consolas"/>
      <family val="2"/>
    </font>
    <font>
      <b/>
      <sz val="11"/>
      <color rgb="FFFFFFFF"/>
      <name val="Calibri"/>
      <family val="2"/>
      <scheme val="minor"/>
    </font>
    <font>
      <i/>
      <sz val="10"/>
      <color rgb="FF595959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76A5AF"/>
        <bgColor rgb="FF76A5AF"/>
      </patternFill>
    </fill>
    <fill>
      <patternFill patternType="solid">
        <fgColor rgb="FFE6B8AF"/>
        <bgColor rgb="FFE6B8AF"/>
      </patternFill>
    </fill>
    <fill>
      <patternFill patternType="solid">
        <fgColor rgb="FFF9CB9C"/>
        <bgColor rgb="FFF9CB9C"/>
      </patternFill>
    </fill>
    <fill>
      <patternFill patternType="solid">
        <fgColor rgb="FF2E75B6"/>
      </patternFill>
    </fill>
    <fill>
      <patternFill patternType="solid">
        <fgColor rgb="FF1F4E78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1" xfId="0" applyFont="1" applyBorder="1"/>
    <xf numFmtId="0" fontId="8" fillId="0" borderId="0" xfId="0" applyFont="1"/>
    <xf numFmtId="0" fontId="9" fillId="0" borderId="0" xfId="0" applyFont="1"/>
    <xf numFmtId="49" fontId="7" fillId="0" borderId="1" xfId="0" applyNumberFormat="1" applyFont="1" applyBorder="1"/>
    <xf numFmtId="0" fontId="7" fillId="4" borderId="1" xfId="0" applyFont="1" applyFill="1" applyBorder="1"/>
    <xf numFmtId="49" fontId="7" fillId="4" borderId="1" xfId="0" applyNumberFormat="1" applyFont="1" applyFill="1" applyBorder="1"/>
    <xf numFmtId="0" fontId="10" fillId="4" borderId="0" xfId="0" applyFont="1" applyFill="1"/>
    <xf numFmtId="0" fontId="7" fillId="5" borderId="1" xfId="0" applyFont="1" applyFill="1" applyBorder="1"/>
    <xf numFmtId="49" fontId="7" fillId="5" borderId="1" xfId="0" applyNumberFormat="1" applyFont="1" applyFill="1" applyBorder="1"/>
    <xf numFmtId="0" fontId="10" fillId="5" borderId="0" xfId="0" applyFont="1" applyFill="1"/>
    <xf numFmtId="0" fontId="7" fillId="6" borderId="1" xfId="0" applyFont="1" applyFill="1" applyBorder="1"/>
    <xf numFmtId="49" fontId="7" fillId="6" borderId="1" xfId="0" applyNumberFormat="1" applyFont="1" applyFill="1" applyBorder="1"/>
    <xf numFmtId="0" fontId="10" fillId="6" borderId="0" xfId="0" applyFont="1" applyFill="1"/>
    <xf numFmtId="0" fontId="8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13" fillId="2" borderId="0" xfId="0" applyFont="1" applyFill="1"/>
    <xf numFmtId="164" fontId="10" fillId="0" borderId="0" xfId="0" applyNumberFormat="1" applyFont="1"/>
    <xf numFmtId="0" fontId="10" fillId="0" borderId="0" xfId="0" applyFont="1"/>
    <xf numFmtId="0" fontId="14" fillId="0" borderId="0" xfId="0" applyFont="1"/>
    <xf numFmtId="49" fontId="7" fillId="4" borderId="1" xfId="0" applyNumberFormat="1" applyFont="1" applyFill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49" fontId="7" fillId="5" borderId="1" xfId="0" applyNumberFormat="1" applyFont="1" applyFill="1" applyBorder="1" applyAlignment="1">
      <alignment horizontal="center"/>
    </xf>
    <xf numFmtId="49" fontId="7" fillId="6" borderId="1" xfId="0" applyNumberFormat="1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 vertical="center" wrapText="1"/>
    </xf>
    <xf numFmtId="0" fontId="15" fillId="0" borderId="4" xfId="0" applyFont="1" applyBorder="1"/>
    <xf numFmtId="0" fontId="15" fillId="0" borderId="4" xfId="0" applyFont="1" applyBorder="1" applyAlignment="1">
      <alignment horizontal="center"/>
    </xf>
    <xf numFmtId="0" fontId="16" fillId="0" borderId="4" xfId="0" applyFont="1" applyBorder="1"/>
    <xf numFmtId="0" fontId="16" fillId="0" borderId="4" xfId="0" applyFont="1" applyBorder="1" applyAlignment="1">
      <alignment horizontal="center"/>
    </xf>
    <xf numFmtId="0" fontId="0" fillId="0" borderId="3" xfId="0" applyBorder="1"/>
    <xf numFmtId="0" fontId="7" fillId="4" borderId="1" xfId="0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/>
    <xf numFmtId="0" fontId="4" fillId="3" borderId="2" xfId="0" applyFont="1" applyFill="1" applyBorder="1" applyAlignment="1">
      <alignment horizontal="left" vertical="center"/>
    </xf>
    <xf numFmtId="0" fontId="7" fillId="0" borderId="1" xfId="0" applyFont="1" applyBorder="1"/>
    <xf numFmtId="0" fontId="7" fillId="5" borderId="1" xfId="0" applyFont="1" applyFill="1" applyBorder="1"/>
    <xf numFmtId="0" fontId="7" fillId="6" borderId="1" xfId="0" applyFont="1" applyFill="1" applyBorder="1"/>
    <xf numFmtId="0" fontId="4" fillId="7" borderId="0" xfId="0" applyFont="1" applyFill="1" applyAlignment="1">
      <alignment horizontal="left" vertical="center"/>
    </xf>
    <xf numFmtId="49" fontId="7" fillId="0" borderId="1" xfId="0" applyNumberFormat="1" applyFont="1" applyFill="1" applyBorder="1" applyAlignment="1">
      <alignment horizontal="center"/>
    </xf>
    <xf numFmtId="0" fontId="7" fillId="0" borderId="1" xfId="0" applyFont="1" applyFill="1" applyBorder="1"/>
    <xf numFmtId="0" fontId="0" fillId="0" borderId="3" xfId="0" applyFill="1" applyBorder="1"/>
    <xf numFmtId="0" fontId="7" fillId="0" borderId="1" xfId="0" applyFont="1" applyFill="1" applyBorder="1"/>
    <xf numFmtId="49" fontId="7" fillId="0" borderId="1" xfId="0" applyNumberFormat="1" applyFont="1" applyFill="1" applyBorder="1"/>
    <xf numFmtId="0" fontId="10" fillId="0" borderId="0" xfId="0" applyFont="1" applyFill="1"/>
    <xf numFmtId="0" fontId="0" fillId="0" borderId="0" xfId="0" applyFill="1"/>
  </cellXfs>
  <cellStyles count="1">
    <cellStyle name="Normal" xfId="0" builtinId="0"/>
  </cellStyles>
  <dxfs count="34"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/>
  </sheetViews>
  <sheetFormatPr baseColWidth="10" defaultColWidth="14.5" defaultRowHeight="15" customHeight="1" x14ac:dyDescent="0.2"/>
  <cols>
    <col min="1" max="1" width="32" customWidth="1"/>
    <col min="2" max="2" width="12" customWidth="1"/>
    <col min="3" max="3" width="14" customWidth="1"/>
    <col min="4" max="4" width="16" customWidth="1"/>
    <col min="5" max="25" width="8.6640625" customWidth="1"/>
  </cols>
  <sheetData>
    <row r="1" spans="1:4" ht="18" x14ac:dyDescent="0.2">
      <c r="A1" s="1" t="s">
        <v>0</v>
      </c>
    </row>
    <row r="2" spans="1:4" x14ac:dyDescent="0.2">
      <c r="A2" s="3" t="s">
        <v>1</v>
      </c>
    </row>
    <row r="4" spans="1:4" x14ac:dyDescent="0.2">
      <c r="A4" s="4" t="s">
        <v>2</v>
      </c>
      <c r="B4" s="4" t="s">
        <v>3</v>
      </c>
      <c r="C4" s="4" t="s">
        <v>4</v>
      </c>
      <c r="D4" s="4" t="s">
        <v>5</v>
      </c>
    </row>
    <row r="5" spans="1:4" x14ac:dyDescent="0.2">
      <c r="A5" s="5" t="s">
        <v>6</v>
      </c>
      <c r="B5" s="6" t="s">
        <v>7</v>
      </c>
      <c r="C5" s="6">
        <v>7</v>
      </c>
      <c r="D5" s="6">
        <v>91</v>
      </c>
    </row>
    <row r="6" spans="1:4" x14ac:dyDescent="0.2">
      <c r="A6" s="5" t="s">
        <v>8</v>
      </c>
      <c r="B6" s="6" t="s">
        <v>7</v>
      </c>
      <c r="C6" s="6">
        <v>5</v>
      </c>
      <c r="D6" s="6">
        <v>55</v>
      </c>
    </row>
    <row r="7" spans="1:4" x14ac:dyDescent="0.2">
      <c r="A7" s="5" t="s">
        <v>9</v>
      </c>
      <c r="B7" s="6" t="s">
        <v>7</v>
      </c>
      <c r="C7" s="6">
        <v>5</v>
      </c>
      <c r="D7" s="6">
        <v>48</v>
      </c>
    </row>
    <row r="8" spans="1:4" x14ac:dyDescent="0.2">
      <c r="A8" s="5" t="s">
        <v>10</v>
      </c>
      <c r="B8" s="6" t="s">
        <v>7</v>
      </c>
      <c r="C8" s="6">
        <v>8</v>
      </c>
      <c r="D8" s="6">
        <v>76</v>
      </c>
    </row>
    <row r="9" spans="1:4" x14ac:dyDescent="0.2">
      <c r="A9" s="5" t="s">
        <v>11</v>
      </c>
      <c r="B9" s="6" t="s">
        <v>7</v>
      </c>
      <c r="C9" s="6">
        <v>2</v>
      </c>
      <c r="D9" s="6">
        <v>17</v>
      </c>
    </row>
    <row r="10" spans="1:4" x14ac:dyDescent="0.2">
      <c r="A10" s="5" t="s">
        <v>12</v>
      </c>
      <c r="B10" s="6" t="s">
        <v>13</v>
      </c>
      <c r="C10" s="6">
        <v>2</v>
      </c>
      <c r="D10" s="6">
        <v>19</v>
      </c>
    </row>
    <row r="11" spans="1:4" x14ac:dyDescent="0.2">
      <c r="A11" s="5" t="s">
        <v>14</v>
      </c>
      <c r="B11" s="6" t="s">
        <v>13</v>
      </c>
      <c r="C11" s="6">
        <v>2</v>
      </c>
      <c r="D11" s="6">
        <v>15</v>
      </c>
    </row>
    <row r="12" spans="1:4" x14ac:dyDescent="0.2">
      <c r="A12" s="5" t="s">
        <v>15</v>
      </c>
      <c r="B12" s="6" t="s">
        <v>13</v>
      </c>
      <c r="C12" s="6">
        <v>1</v>
      </c>
      <c r="D12" s="6">
        <v>25</v>
      </c>
    </row>
    <row r="13" spans="1:4" x14ac:dyDescent="0.2">
      <c r="A13" s="5" t="s">
        <v>16</v>
      </c>
      <c r="B13" s="6" t="s">
        <v>13</v>
      </c>
      <c r="C13" s="6">
        <v>1</v>
      </c>
      <c r="D13" s="6">
        <v>6</v>
      </c>
    </row>
    <row r="14" spans="1:4" x14ac:dyDescent="0.2">
      <c r="A14" s="5" t="s">
        <v>17</v>
      </c>
      <c r="B14" s="6" t="s">
        <v>13</v>
      </c>
      <c r="C14" s="6">
        <v>3</v>
      </c>
      <c r="D14" s="6">
        <v>23</v>
      </c>
    </row>
    <row r="15" spans="1:4" x14ac:dyDescent="0.2">
      <c r="A15" s="5" t="s">
        <v>18</v>
      </c>
      <c r="B15" s="6" t="s">
        <v>13</v>
      </c>
      <c r="C15" s="6">
        <v>1</v>
      </c>
      <c r="D15" s="6">
        <v>7</v>
      </c>
    </row>
    <row r="16" spans="1:4" x14ac:dyDescent="0.2">
      <c r="A16" s="5" t="s">
        <v>19</v>
      </c>
      <c r="B16" s="6" t="s">
        <v>13</v>
      </c>
      <c r="C16" s="6">
        <v>2</v>
      </c>
      <c r="D16" s="6">
        <v>15</v>
      </c>
    </row>
    <row r="17" spans="1:4" x14ac:dyDescent="0.2">
      <c r="A17" s="5" t="s">
        <v>20</v>
      </c>
      <c r="B17" s="6" t="s">
        <v>13</v>
      </c>
      <c r="C17" s="6">
        <v>4</v>
      </c>
      <c r="D17" s="6">
        <v>29</v>
      </c>
    </row>
    <row r="18" spans="1:4" x14ac:dyDescent="0.2">
      <c r="A18" s="5" t="s">
        <v>21</v>
      </c>
      <c r="B18" s="6" t="s">
        <v>13</v>
      </c>
      <c r="C18" s="6">
        <v>3</v>
      </c>
      <c r="D18" s="6">
        <v>35</v>
      </c>
    </row>
    <row r="19" spans="1:4" x14ac:dyDescent="0.2">
      <c r="A19" s="5" t="s">
        <v>22</v>
      </c>
      <c r="B19" s="6" t="s">
        <v>13</v>
      </c>
      <c r="C19" s="6">
        <v>3</v>
      </c>
      <c r="D19" s="6">
        <v>31</v>
      </c>
    </row>
    <row r="20" spans="1:4" x14ac:dyDescent="0.2">
      <c r="A20" s="8" t="s">
        <v>23</v>
      </c>
      <c r="C20" s="9">
        <v>49</v>
      </c>
      <c r="D20" s="9">
        <v>492</v>
      </c>
    </row>
    <row r="21" spans="1:4" ht="15.75" customHeight="1" x14ac:dyDescent="0.2"/>
    <row r="22" spans="1:4" ht="15.75" customHeight="1" x14ac:dyDescent="0.2">
      <c r="A22" s="26" t="s">
        <v>24</v>
      </c>
    </row>
    <row r="23" spans="1:4" ht="15.75" customHeight="1" x14ac:dyDescent="0.2"/>
    <row r="24" spans="1:4" ht="15.75" customHeight="1" x14ac:dyDescent="0.2"/>
    <row r="25" spans="1:4" ht="15.75" customHeight="1" x14ac:dyDescent="0.2"/>
    <row r="26" spans="1:4" ht="15.75" customHeight="1" x14ac:dyDescent="0.2"/>
    <row r="27" spans="1:4" ht="15.75" customHeight="1" x14ac:dyDescent="0.2"/>
    <row r="28" spans="1:4" ht="15.75" customHeight="1" x14ac:dyDescent="0.2"/>
    <row r="29" spans="1:4" ht="15.75" customHeight="1" x14ac:dyDescent="0.2"/>
    <row r="30" spans="1:4" ht="15.75" customHeight="1" x14ac:dyDescent="0.2"/>
    <row r="31" spans="1:4" ht="15.75" customHeight="1" x14ac:dyDescent="0.2"/>
    <row r="32" spans="1: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ySplit="4" topLeftCell="A5" activePane="bottomLeft" state="frozen"/>
      <selection pane="bottomLeft" activeCell="B14" sqref="B14:C14"/>
    </sheetView>
  </sheetViews>
  <sheetFormatPr baseColWidth="10" defaultColWidth="14.5" defaultRowHeight="15" customHeight="1" x14ac:dyDescent="0.2"/>
  <cols>
    <col min="1" max="1" width="8" customWidth="1"/>
    <col min="2" max="2" width="49" customWidth="1"/>
    <col min="3" max="3" width="35" customWidth="1"/>
    <col min="4" max="5" width="14" customWidth="1"/>
    <col min="6" max="6" width="26" customWidth="1"/>
    <col min="7" max="7" width="12" customWidth="1"/>
    <col min="8" max="8" width="13" customWidth="1"/>
    <col min="9" max="9" width="22" customWidth="1"/>
    <col min="10" max="26" width="8.6640625" customWidth="1"/>
  </cols>
  <sheetData>
    <row r="1" spans="1:26" ht="17" x14ac:dyDescent="0.2">
      <c r="A1" s="39" t="s">
        <v>25</v>
      </c>
      <c r="B1" s="40"/>
      <c r="C1" s="40"/>
      <c r="D1" s="40"/>
      <c r="E1" s="40"/>
      <c r="F1" s="40"/>
      <c r="G1" s="40"/>
      <c r="H1" s="40"/>
      <c r="I1" s="40"/>
    </row>
    <row r="2" spans="1:26" x14ac:dyDescent="0.2"/>
    <row r="3" spans="1:26" x14ac:dyDescent="0.2">
      <c r="A3" s="41" t="s">
        <v>26</v>
      </c>
      <c r="B3" s="40"/>
      <c r="C3" s="40"/>
      <c r="D3" s="40"/>
      <c r="E3" s="40"/>
      <c r="F3" s="40"/>
      <c r="G3" s="40"/>
      <c r="H3" s="40"/>
      <c r="I3" s="40"/>
    </row>
    <row r="4" spans="1:26" ht="30" x14ac:dyDescent="0.2">
      <c r="A4" s="4" t="s">
        <v>27</v>
      </c>
      <c r="B4" s="4" t="s">
        <v>28</v>
      </c>
      <c r="C4" s="4" t="s">
        <v>29</v>
      </c>
      <c r="D4" s="4" t="s">
        <v>30</v>
      </c>
      <c r="E4" s="4" t="s">
        <v>31</v>
      </c>
      <c r="F4" s="4" t="s">
        <v>32</v>
      </c>
      <c r="G4" s="4" t="s">
        <v>33</v>
      </c>
      <c r="H4" s="4" t="s">
        <v>34</v>
      </c>
      <c r="I4" s="4" t="s">
        <v>35</v>
      </c>
    </row>
    <row r="5" spans="1:26" s="52" customFormat="1" x14ac:dyDescent="0.2">
      <c r="A5" s="49">
        <v>1</v>
      </c>
      <c r="B5" s="49" t="s">
        <v>36</v>
      </c>
      <c r="C5" s="49" t="s">
        <v>37</v>
      </c>
      <c r="D5" s="49">
        <v>12</v>
      </c>
      <c r="E5" s="50">
        <v>4200</v>
      </c>
      <c r="F5" s="50"/>
      <c r="G5" s="49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spans="1:26" s="52" customFormat="1" ht="15.75" customHeight="1" x14ac:dyDescent="0.2">
      <c r="A6" s="49">
        <v>2</v>
      </c>
      <c r="B6" s="49" t="s">
        <v>38</v>
      </c>
      <c r="C6" s="49" t="s">
        <v>39</v>
      </c>
      <c r="D6" s="49">
        <v>12</v>
      </c>
      <c r="E6" s="50">
        <v>4200</v>
      </c>
      <c r="F6" s="50"/>
      <c r="G6" s="49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spans="1:26" s="52" customFormat="1" ht="15.75" customHeight="1" x14ac:dyDescent="0.2">
      <c r="A7" s="49">
        <v>3</v>
      </c>
      <c r="B7" s="49" t="s">
        <v>40</v>
      </c>
      <c r="C7" s="49" t="s">
        <v>41</v>
      </c>
      <c r="D7" s="49">
        <v>13</v>
      </c>
      <c r="E7" s="50">
        <v>4550</v>
      </c>
      <c r="F7" s="50"/>
      <c r="G7" s="49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spans="1:26" s="52" customFormat="1" ht="15.75" customHeight="1" x14ac:dyDescent="0.2">
      <c r="A8" s="49">
        <v>4</v>
      </c>
      <c r="B8" s="49" t="s">
        <v>42</v>
      </c>
      <c r="C8" s="49" t="s">
        <v>43</v>
      </c>
      <c r="D8" s="49">
        <v>12</v>
      </c>
      <c r="E8" s="50">
        <v>4200</v>
      </c>
      <c r="F8" s="50"/>
      <c r="G8" s="49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spans="1:26" s="52" customFormat="1" ht="15.75" customHeight="1" x14ac:dyDescent="0.2">
      <c r="A9" s="49">
        <v>5</v>
      </c>
      <c r="B9" s="49" t="s">
        <v>44</v>
      </c>
      <c r="C9" s="49" t="s">
        <v>45</v>
      </c>
      <c r="D9" s="49">
        <v>8</v>
      </c>
      <c r="E9" s="50">
        <v>2800</v>
      </c>
      <c r="F9" s="50"/>
      <c r="G9" s="49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spans="1:26" s="52" customFormat="1" ht="15.75" customHeight="1" x14ac:dyDescent="0.2">
      <c r="A10" s="49">
        <v>6</v>
      </c>
      <c r="B10" s="49" t="s">
        <v>46</v>
      </c>
      <c r="C10" s="49" t="s">
        <v>47</v>
      </c>
      <c r="D10" s="49">
        <v>10</v>
      </c>
      <c r="E10" s="50">
        <v>3500</v>
      </c>
      <c r="F10" s="50"/>
      <c r="G10" s="49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spans="1:26" s="52" customFormat="1" ht="15.75" customHeight="1" x14ac:dyDescent="0.2">
      <c r="A11" s="49">
        <v>7</v>
      </c>
      <c r="B11" s="49" t="s">
        <v>48</v>
      </c>
      <c r="C11" s="49" t="s">
        <v>49</v>
      </c>
      <c r="D11" s="49">
        <v>24</v>
      </c>
      <c r="E11" s="50">
        <v>8123</v>
      </c>
      <c r="F11" s="50"/>
      <c r="G11" s="49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spans="1:26" x14ac:dyDescent="0.2"/>
    <row r="13" spans="1:26" x14ac:dyDescent="0.2">
      <c r="A13" s="41" t="s">
        <v>50</v>
      </c>
      <c r="B13" s="40"/>
      <c r="C13" s="40"/>
      <c r="D13" s="40"/>
      <c r="E13" s="40"/>
      <c r="F13" s="40"/>
      <c r="G13" s="40"/>
      <c r="H13" s="40"/>
      <c r="I13" s="40"/>
    </row>
    <row r="14" spans="1:26" ht="30" x14ac:dyDescent="0.2">
      <c r="A14" s="4" t="s">
        <v>51</v>
      </c>
      <c r="B14" s="38" t="s">
        <v>28</v>
      </c>
      <c r="C14" s="36"/>
      <c r="D14" s="4" t="s">
        <v>52</v>
      </c>
      <c r="E14" s="4" t="s">
        <v>33</v>
      </c>
      <c r="F14" s="4" t="s">
        <v>34</v>
      </c>
      <c r="G14" s="4" t="s">
        <v>35</v>
      </c>
    </row>
    <row r="15" spans="1:26" s="52" customFormat="1" x14ac:dyDescent="0.2">
      <c r="A15" s="46" t="s">
        <v>53</v>
      </c>
      <c r="B15" s="47" t="s">
        <v>36</v>
      </c>
      <c r="C15" s="48"/>
      <c r="D15" s="49"/>
      <c r="E15" s="50"/>
      <c r="F15" s="50"/>
      <c r="G15" s="49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spans="1:26" s="52" customFormat="1" x14ac:dyDescent="0.2">
      <c r="A16" s="46" t="s">
        <v>54</v>
      </c>
      <c r="B16" s="47" t="s">
        <v>36</v>
      </c>
      <c r="C16" s="48"/>
      <c r="D16" s="49"/>
      <c r="E16" s="50"/>
      <c r="F16" s="50"/>
      <c r="G16" s="49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spans="1:26" s="52" customFormat="1" x14ac:dyDescent="0.2">
      <c r="A17" s="46" t="s">
        <v>55</v>
      </c>
      <c r="B17" s="47" t="s">
        <v>36</v>
      </c>
      <c r="C17" s="48"/>
      <c r="D17" s="49"/>
      <c r="E17" s="50"/>
      <c r="F17" s="50"/>
      <c r="G17" s="49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spans="1:26" s="52" customFormat="1" x14ac:dyDescent="0.2">
      <c r="A18" s="46" t="s">
        <v>56</v>
      </c>
      <c r="B18" s="47" t="s">
        <v>36</v>
      </c>
      <c r="C18" s="48"/>
      <c r="D18" s="49"/>
      <c r="E18" s="50"/>
      <c r="F18" s="50"/>
      <c r="G18" s="49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spans="1:26" s="52" customFormat="1" x14ac:dyDescent="0.2">
      <c r="A19" s="46" t="s">
        <v>57</v>
      </c>
      <c r="B19" s="47" t="s">
        <v>36</v>
      </c>
      <c r="C19" s="48"/>
      <c r="D19" s="49"/>
      <c r="E19" s="50"/>
      <c r="F19" s="50"/>
      <c r="G19" s="49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spans="1:26" s="52" customFormat="1" x14ac:dyDescent="0.2">
      <c r="A20" s="46" t="s">
        <v>58</v>
      </c>
      <c r="B20" s="47" t="s">
        <v>36</v>
      </c>
      <c r="C20" s="48"/>
      <c r="D20" s="49"/>
      <c r="E20" s="50"/>
      <c r="F20" s="50"/>
      <c r="G20" s="49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spans="1:26" s="52" customFormat="1" ht="15.75" customHeight="1" x14ac:dyDescent="0.2">
      <c r="A21" s="46" t="s">
        <v>59</v>
      </c>
      <c r="B21" s="47" t="s">
        <v>36</v>
      </c>
      <c r="C21" s="48"/>
      <c r="D21" s="49"/>
      <c r="E21" s="50"/>
      <c r="F21" s="50"/>
      <c r="G21" s="49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spans="1:26" s="52" customFormat="1" ht="15.75" customHeight="1" x14ac:dyDescent="0.2">
      <c r="A22" s="46" t="s">
        <v>60</v>
      </c>
      <c r="B22" s="47" t="s">
        <v>36</v>
      </c>
      <c r="C22" s="48"/>
      <c r="D22" s="49"/>
      <c r="E22" s="50"/>
      <c r="F22" s="50"/>
      <c r="G22" s="49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spans="1:26" s="52" customFormat="1" ht="15.75" customHeight="1" x14ac:dyDescent="0.2">
      <c r="A23" s="46" t="s">
        <v>61</v>
      </c>
      <c r="B23" s="47" t="s">
        <v>36</v>
      </c>
      <c r="C23" s="48"/>
      <c r="D23" s="49"/>
      <c r="E23" s="50"/>
      <c r="F23" s="50"/>
      <c r="G23" s="49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spans="1:26" s="52" customFormat="1" ht="15.75" customHeight="1" x14ac:dyDescent="0.2">
      <c r="A24" s="46" t="s">
        <v>62</v>
      </c>
      <c r="B24" s="47" t="s">
        <v>36</v>
      </c>
      <c r="C24" s="48"/>
      <c r="D24" s="49"/>
      <c r="E24" s="50"/>
      <c r="F24" s="50"/>
      <c r="G24" s="49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spans="1:26" s="52" customFormat="1" ht="15.75" customHeight="1" x14ac:dyDescent="0.2">
      <c r="A25" s="46" t="s">
        <v>63</v>
      </c>
      <c r="B25" s="47" t="s">
        <v>36</v>
      </c>
      <c r="C25" s="48"/>
      <c r="D25" s="49"/>
      <c r="E25" s="50"/>
      <c r="F25" s="50"/>
      <c r="G25" s="49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spans="1:26" s="52" customFormat="1" ht="15.75" customHeight="1" x14ac:dyDescent="0.2">
      <c r="A26" s="46" t="s">
        <v>64</v>
      </c>
      <c r="B26" s="47" t="s">
        <v>36</v>
      </c>
      <c r="C26" s="48"/>
      <c r="D26" s="49"/>
      <c r="E26" s="50"/>
      <c r="F26" s="50"/>
      <c r="G26" s="49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spans="1:26" s="52" customFormat="1" ht="15.75" customHeight="1" x14ac:dyDescent="0.2">
      <c r="A27" s="46" t="s">
        <v>65</v>
      </c>
      <c r="B27" s="47" t="s">
        <v>38</v>
      </c>
      <c r="C27" s="48"/>
      <c r="D27" s="49"/>
      <c r="E27" s="50"/>
      <c r="F27" s="50"/>
      <c r="G27" s="49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spans="1:26" s="52" customFormat="1" ht="15.75" customHeight="1" x14ac:dyDescent="0.2">
      <c r="A28" s="46" t="s">
        <v>66</v>
      </c>
      <c r="B28" s="47" t="s">
        <v>38</v>
      </c>
      <c r="C28" s="48"/>
      <c r="D28" s="49"/>
      <c r="E28" s="50"/>
      <c r="F28" s="50"/>
      <c r="G28" s="49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spans="1:26" s="52" customFormat="1" ht="15.75" customHeight="1" x14ac:dyDescent="0.2">
      <c r="A29" s="46" t="s">
        <v>67</v>
      </c>
      <c r="B29" s="47" t="s">
        <v>38</v>
      </c>
      <c r="C29" s="48"/>
      <c r="D29" s="49"/>
      <c r="E29" s="50"/>
      <c r="F29" s="50"/>
      <c r="G29" s="49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spans="1:26" s="52" customFormat="1" ht="15.75" customHeight="1" x14ac:dyDescent="0.2">
      <c r="A30" s="46" t="s">
        <v>68</v>
      </c>
      <c r="B30" s="47" t="s">
        <v>38</v>
      </c>
      <c r="C30" s="48"/>
      <c r="D30" s="49"/>
      <c r="E30" s="50"/>
      <c r="F30" s="50"/>
      <c r="G30" s="49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spans="1:26" s="52" customFormat="1" ht="15.75" customHeight="1" x14ac:dyDescent="0.2">
      <c r="A31" s="46" t="s">
        <v>69</v>
      </c>
      <c r="B31" s="47" t="s">
        <v>38</v>
      </c>
      <c r="C31" s="48"/>
      <c r="D31" s="49"/>
      <c r="E31" s="50"/>
      <c r="F31" s="50"/>
      <c r="G31" s="49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spans="1:26" s="52" customFormat="1" ht="15.75" customHeight="1" x14ac:dyDescent="0.2">
      <c r="A32" s="46" t="s">
        <v>70</v>
      </c>
      <c r="B32" s="47" t="s">
        <v>38</v>
      </c>
      <c r="C32" s="48"/>
      <c r="D32" s="49"/>
      <c r="E32" s="50"/>
      <c r="F32" s="50"/>
      <c r="G32" s="49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spans="1:26" s="52" customFormat="1" ht="15.75" customHeight="1" x14ac:dyDescent="0.2">
      <c r="A33" s="46" t="s">
        <v>71</v>
      </c>
      <c r="B33" s="47" t="s">
        <v>38</v>
      </c>
      <c r="C33" s="48"/>
      <c r="D33" s="49"/>
      <c r="E33" s="50"/>
      <c r="F33" s="50"/>
      <c r="G33" s="49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spans="1:26" s="52" customFormat="1" ht="15.75" customHeight="1" x14ac:dyDescent="0.2">
      <c r="A34" s="46" t="s">
        <v>72</v>
      </c>
      <c r="B34" s="47" t="s">
        <v>38</v>
      </c>
      <c r="C34" s="48"/>
      <c r="D34" s="49"/>
      <c r="E34" s="50"/>
      <c r="F34" s="50"/>
      <c r="G34" s="49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spans="1:26" s="52" customFormat="1" ht="15.75" customHeight="1" x14ac:dyDescent="0.2">
      <c r="A35" s="46" t="s">
        <v>73</v>
      </c>
      <c r="B35" s="47" t="s">
        <v>38</v>
      </c>
      <c r="C35" s="48"/>
      <c r="D35" s="49"/>
      <c r="E35" s="50"/>
      <c r="F35" s="50"/>
      <c r="G35" s="49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spans="1:26" s="52" customFormat="1" ht="15.75" customHeight="1" x14ac:dyDescent="0.2">
      <c r="A36" s="46" t="s">
        <v>74</v>
      </c>
      <c r="B36" s="47" t="s">
        <v>38</v>
      </c>
      <c r="C36" s="48"/>
      <c r="D36" s="49"/>
      <c r="E36" s="50"/>
      <c r="F36" s="50"/>
      <c r="G36" s="49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spans="1:26" s="52" customFormat="1" ht="15.75" customHeight="1" x14ac:dyDescent="0.2">
      <c r="A37" s="46" t="s">
        <v>75</v>
      </c>
      <c r="B37" s="47" t="s">
        <v>38</v>
      </c>
      <c r="C37" s="48"/>
      <c r="D37" s="49"/>
      <c r="E37" s="50"/>
      <c r="F37" s="50"/>
      <c r="G37" s="49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spans="1:26" s="52" customFormat="1" ht="15.75" customHeight="1" x14ac:dyDescent="0.2">
      <c r="A38" s="46" t="s">
        <v>76</v>
      </c>
      <c r="B38" s="47" t="s">
        <v>38</v>
      </c>
      <c r="C38" s="48"/>
      <c r="D38" s="49"/>
      <c r="E38" s="50"/>
      <c r="F38" s="50"/>
      <c r="G38" s="49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spans="1:26" s="52" customFormat="1" ht="15.75" customHeight="1" x14ac:dyDescent="0.2">
      <c r="A39" s="46" t="s">
        <v>77</v>
      </c>
      <c r="B39" s="47" t="s">
        <v>40</v>
      </c>
      <c r="C39" s="48"/>
      <c r="D39" s="49"/>
      <c r="E39" s="50"/>
      <c r="F39" s="50"/>
      <c r="G39" s="49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6" s="52" customFormat="1" ht="15.75" customHeight="1" x14ac:dyDescent="0.2">
      <c r="A40" s="46" t="s">
        <v>78</v>
      </c>
      <c r="B40" s="47" t="s">
        <v>40</v>
      </c>
      <c r="C40" s="48"/>
      <c r="D40" s="49"/>
      <c r="E40" s="50"/>
      <c r="F40" s="50"/>
      <c r="G40" s="49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1:26" s="52" customFormat="1" ht="15.75" customHeight="1" x14ac:dyDescent="0.2">
      <c r="A41" s="46" t="s">
        <v>79</v>
      </c>
      <c r="B41" s="47" t="s">
        <v>40</v>
      </c>
      <c r="C41" s="48"/>
      <c r="D41" s="49"/>
      <c r="E41" s="50"/>
      <c r="F41" s="50"/>
      <c r="G41" s="49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6" s="52" customFormat="1" ht="15.75" customHeight="1" x14ac:dyDescent="0.2">
      <c r="A42" s="46" t="s">
        <v>80</v>
      </c>
      <c r="B42" s="47" t="s">
        <v>40</v>
      </c>
      <c r="C42" s="48"/>
      <c r="D42" s="49"/>
      <c r="E42" s="50"/>
      <c r="F42" s="50"/>
      <c r="G42" s="49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6" s="52" customFormat="1" ht="15.75" customHeight="1" x14ac:dyDescent="0.2">
      <c r="A43" s="46" t="s">
        <v>81</v>
      </c>
      <c r="B43" s="47" t="s">
        <v>40</v>
      </c>
      <c r="C43" s="48"/>
      <c r="D43" s="49"/>
      <c r="E43" s="50"/>
      <c r="F43" s="50"/>
      <c r="G43" s="49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6" s="52" customFormat="1" ht="15.75" customHeight="1" x14ac:dyDescent="0.2">
      <c r="A44" s="46" t="s">
        <v>82</v>
      </c>
      <c r="B44" s="47" t="s">
        <v>40</v>
      </c>
      <c r="C44" s="48"/>
      <c r="D44" s="49"/>
      <c r="E44" s="50"/>
      <c r="F44" s="50"/>
      <c r="G44" s="49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6" s="52" customFormat="1" ht="15.75" customHeight="1" x14ac:dyDescent="0.2">
      <c r="A45" s="46" t="s">
        <v>83</v>
      </c>
      <c r="B45" s="47" t="s">
        <v>40</v>
      </c>
      <c r="C45" s="48"/>
      <c r="D45" s="49"/>
      <c r="E45" s="50"/>
      <c r="F45" s="50"/>
      <c r="G45" s="49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6" s="52" customFormat="1" ht="15.75" customHeight="1" x14ac:dyDescent="0.2">
      <c r="A46" s="46" t="s">
        <v>84</v>
      </c>
      <c r="B46" s="47" t="s">
        <v>40</v>
      </c>
      <c r="C46" s="48"/>
      <c r="D46" s="49"/>
      <c r="E46" s="50"/>
      <c r="F46" s="50"/>
      <c r="G46" s="49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s="52" customFormat="1" ht="15.75" customHeight="1" x14ac:dyDescent="0.2">
      <c r="A47" s="46" t="s">
        <v>85</v>
      </c>
      <c r="B47" s="47" t="s">
        <v>40</v>
      </c>
      <c r="C47" s="48"/>
      <c r="D47" s="49"/>
      <c r="E47" s="50"/>
      <c r="F47" s="50"/>
      <c r="G47" s="49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6" s="52" customFormat="1" ht="15.75" customHeight="1" x14ac:dyDescent="0.2">
      <c r="A48" s="46" t="s">
        <v>86</v>
      </c>
      <c r="B48" s="47" t="s">
        <v>40</v>
      </c>
      <c r="C48" s="48"/>
      <c r="D48" s="49"/>
      <c r="E48" s="50"/>
      <c r="F48" s="50"/>
      <c r="G48" s="49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 s="52" customFormat="1" ht="15.75" customHeight="1" x14ac:dyDescent="0.2">
      <c r="A49" s="46" t="s">
        <v>87</v>
      </c>
      <c r="B49" s="47" t="s">
        <v>40</v>
      </c>
      <c r="C49" s="48"/>
      <c r="D49" s="49"/>
      <c r="E49" s="50"/>
      <c r="F49" s="50"/>
      <c r="G49" s="49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 s="52" customFormat="1" ht="15.75" customHeight="1" x14ac:dyDescent="0.2">
      <c r="A50" s="46" t="s">
        <v>88</v>
      </c>
      <c r="B50" s="47" t="s">
        <v>40</v>
      </c>
      <c r="C50" s="48"/>
      <c r="D50" s="49"/>
      <c r="E50" s="50"/>
      <c r="F50" s="50"/>
      <c r="G50" s="49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 s="52" customFormat="1" ht="15.75" customHeight="1" x14ac:dyDescent="0.2">
      <c r="A51" s="46" t="s">
        <v>89</v>
      </c>
      <c r="B51" s="47" t="s">
        <v>40</v>
      </c>
      <c r="C51" s="48"/>
      <c r="D51" s="49"/>
      <c r="E51" s="50"/>
      <c r="F51" s="50"/>
      <c r="G51" s="49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 s="52" customFormat="1" ht="15.75" customHeight="1" x14ac:dyDescent="0.2">
      <c r="A52" s="46" t="s">
        <v>90</v>
      </c>
      <c r="B52" s="47" t="s">
        <v>42</v>
      </c>
      <c r="C52" s="48"/>
      <c r="D52" s="49"/>
      <c r="E52" s="50"/>
      <c r="F52" s="50"/>
      <c r="G52" s="49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s="52" customFormat="1" ht="15.75" customHeight="1" x14ac:dyDescent="0.2">
      <c r="A53" s="46" t="s">
        <v>91</v>
      </c>
      <c r="B53" s="47" t="s">
        <v>42</v>
      </c>
      <c r="C53" s="48"/>
      <c r="D53" s="49"/>
      <c r="E53" s="50"/>
      <c r="F53" s="50"/>
      <c r="G53" s="49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 s="52" customFormat="1" ht="15.75" customHeight="1" x14ac:dyDescent="0.2">
      <c r="A54" s="46" t="s">
        <v>92</v>
      </c>
      <c r="B54" s="47" t="s">
        <v>42</v>
      </c>
      <c r="C54" s="48"/>
      <c r="D54" s="49"/>
      <c r="E54" s="50"/>
      <c r="F54" s="50"/>
      <c r="G54" s="49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 s="52" customFormat="1" ht="15.75" customHeight="1" x14ac:dyDescent="0.2">
      <c r="A55" s="46" t="s">
        <v>93</v>
      </c>
      <c r="B55" s="47" t="s">
        <v>42</v>
      </c>
      <c r="C55" s="48"/>
      <c r="D55" s="49"/>
      <c r="E55" s="50"/>
      <c r="F55" s="50"/>
      <c r="G55" s="49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 s="52" customFormat="1" ht="15.75" customHeight="1" x14ac:dyDescent="0.2">
      <c r="A56" s="46" t="s">
        <v>94</v>
      </c>
      <c r="B56" s="47" t="s">
        <v>42</v>
      </c>
      <c r="C56" s="48"/>
      <c r="D56" s="49"/>
      <c r="E56" s="50"/>
      <c r="F56" s="50"/>
      <c r="G56" s="49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 s="52" customFormat="1" ht="15.75" customHeight="1" x14ac:dyDescent="0.2">
      <c r="A57" s="46" t="s">
        <v>95</v>
      </c>
      <c r="B57" s="47" t="s">
        <v>42</v>
      </c>
      <c r="C57" s="48"/>
      <c r="D57" s="49"/>
      <c r="E57" s="50"/>
      <c r="F57" s="50"/>
      <c r="G57" s="49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 s="52" customFormat="1" ht="15.75" customHeight="1" x14ac:dyDescent="0.2">
      <c r="A58" s="46" t="s">
        <v>96</v>
      </c>
      <c r="B58" s="47" t="s">
        <v>42</v>
      </c>
      <c r="C58" s="48"/>
      <c r="D58" s="49"/>
      <c r="E58" s="50"/>
      <c r="F58" s="50"/>
      <c r="G58" s="49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 s="52" customFormat="1" ht="15.75" customHeight="1" x14ac:dyDescent="0.2">
      <c r="A59" s="46" t="s">
        <v>97</v>
      </c>
      <c r="B59" s="47" t="s">
        <v>42</v>
      </c>
      <c r="C59" s="48"/>
      <c r="D59" s="49"/>
      <c r="E59" s="50"/>
      <c r="F59" s="50"/>
      <c r="G59" s="49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 s="52" customFormat="1" ht="15.75" customHeight="1" x14ac:dyDescent="0.2">
      <c r="A60" s="46" t="s">
        <v>98</v>
      </c>
      <c r="B60" s="47" t="s">
        <v>42</v>
      </c>
      <c r="C60" s="48"/>
      <c r="D60" s="49"/>
      <c r="E60" s="50"/>
      <c r="F60" s="50"/>
      <c r="G60" s="49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 s="52" customFormat="1" ht="15.75" customHeight="1" x14ac:dyDescent="0.2">
      <c r="A61" s="46" t="s">
        <v>99</v>
      </c>
      <c r="B61" s="47" t="s">
        <v>42</v>
      </c>
      <c r="C61" s="48"/>
      <c r="D61" s="49"/>
      <c r="E61" s="50"/>
      <c r="F61" s="50"/>
      <c r="G61" s="49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 s="52" customFormat="1" ht="15.75" customHeight="1" x14ac:dyDescent="0.2">
      <c r="A62" s="46" t="s">
        <v>100</v>
      </c>
      <c r="B62" s="47" t="s">
        <v>42</v>
      </c>
      <c r="C62" s="48"/>
      <c r="D62" s="49"/>
      <c r="E62" s="50"/>
      <c r="F62" s="50"/>
      <c r="G62" s="49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 s="52" customFormat="1" ht="15.75" customHeight="1" x14ac:dyDescent="0.2">
      <c r="A63" s="46" t="s">
        <v>101</v>
      </c>
      <c r="B63" s="47" t="s">
        <v>42</v>
      </c>
      <c r="C63" s="48"/>
      <c r="D63" s="49"/>
      <c r="E63" s="50"/>
      <c r="F63" s="50"/>
      <c r="G63" s="49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 s="52" customFormat="1" ht="15.75" customHeight="1" x14ac:dyDescent="0.2">
      <c r="A64" s="46" t="s">
        <v>102</v>
      </c>
      <c r="B64" s="47" t="s">
        <v>44</v>
      </c>
      <c r="C64" s="48"/>
      <c r="D64" s="49"/>
      <c r="E64" s="50"/>
      <c r="F64" s="50"/>
      <c r="G64" s="49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 s="52" customFormat="1" ht="15.75" customHeight="1" x14ac:dyDescent="0.2">
      <c r="A65" s="46" t="s">
        <v>103</v>
      </c>
      <c r="B65" s="47" t="s">
        <v>44</v>
      </c>
      <c r="C65" s="48"/>
      <c r="D65" s="49"/>
      <c r="E65" s="50"/>
      <c r="F65" s="50"/>
      <c r="G65" s="49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 s="52" customFormat="1" ht="15.75" customHeight="1" x14ac:dyDescent="0.2">
      <c r="A66" s="46" t="s">
        <v>104</v>
      </c>
      <c r="B66" s="47" t="s">
        <v>44</v>
      </c>
      <c r="C66" s="48"/>
      <c r="D66" s="49"/>
      <c r="E66" s="50"/>
      <c r="F66" s="50"/>
      <c r="G66" s="49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 s="52" customFormat="1" ht="15.75" customHeight="1" x14ac:dyDescent="0.2">
      <c r="A67" s="46" t="s">
        <v>105</v>
      </c>
      <c r="B67" s="47" t="s">
        <v>44</v>
      </c>
      <c r="C67" s="48"/>
      <c r="D67" s="49"/>
      <c r="E67" s="50"/>
      <c r="F67" s="50"/>
      <c r="G67" s="49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 s="52" customFormat="1" ht="15.75" customHeight="1" x14ac:dyDescent="0.2">
      <c r="A68" s="46" t="s">
        <v>106</v>
      </c>
      <c r="B68" s="47" t="s">
        <v>44</v>
      </c>
      <c r="C68" s="48"/>
      <c r="D68" s="49"/>
      <c r="E68" s="50"/>
      <c r="F68" s="50"/>
      <c r="G68" s="49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 s="52" customFormat="1" ht="15.75" customHeight="1" x14ac:dyDescent="0.2">
      <c r="A69" s="46" t="s">
        <v>107</v>
      </c>
      <c r="B69" s="47" t="s">
        <v>44</v>
      </c>
      <c r="C69" s="48"/>
      <c r="D69" s="49"/>
      <c r="E69" s="50"/>
      <c r="F69" s="50"/>
      <c r="G69" s="49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 s="52" customFormat="1" ht="15.75" customHeight="1" x14ac:dyDescent="0.2">
      <c r="A70" s="46" t="s">
        <v>108</v>
      </c>
      <c r="B70" s="47" t="s">
        <v>44</v>
      </c>
      <c r="C70" s="48"/>
      <c r="D70" s="49"/>
      <c r="E70" s="50"/>
      <c r="F70" s="50"/>
      <c r="G70" s="49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 s="52" customFormat="1" ht="15.75" customHeight="1" x14ac:dyDescent="0.2">
      <c r="A71" s="46" t="s">
        <v>109</v>
      </c>
      <c r="B71" s="47" t="s">
        <v>44</v>
      </c>
      <c r="C71" s="48"/>
      <c r="D71" s="49"/>
      <c r="E71" s="50"/>
      <c r="F71" s="50"/>
      <c r="G71" s="49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spans="1:26" s="52" customFormat="1" ht="15.75" customHeight="1" x14ac:dyDescent="0.2">
      <c r="A72" s="46" t="s">
        <v>110</v>
      </c>
      <c r="B72" s="47" t="s">
        <v>46</v>
      </c>
      <c r="C72" s="48"/>
      <c r="D72" s="49"/>
      <c r="E72" s="50"/>
      <c r="F72" s="50"/>
      <c r="G72" s="49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spans="1:26" s="52" customFormat="1" ht="15.75" customHeight="1" x14ac:dyDescent="0.2">
      <c r="A73" s="46" t="s">
        <v>111</v>
      </c>
      <c r="B73" s="47" t="s">
        <v>46</v>
      </c>
      <c r="C73" s="48"/>
      <c r="D73" s="49"/>
      <c r="E73" s="50"/>
      <c r="F73" s="50"/>
      <c r="G73" s="49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spans="1:26" s="52" customFormat="1" ht="15.75" customHeight="1" x14ac:dyDescent="0.2">
      <c r="A74" s="46" t="s">
        <v>112</v>
      </c>
      <c r="B74" s="47" t="s">
        <v>46</v>
      </c>
      <c r="C74" s="48"/>
      <c r="D74" s="49"/>
      <c r="E74" s="50"/>
      <c r="F74" s="50"/>
      <c r="G74" s="49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spans="1:26" s="52" customFormat="1" ht="15.75" customHeight="1" x14ac:dyDescent="0.2">
      <c r="A75" s="46" t="s">
        <v>113</v>
      </c>
      <c r="B75" s="47" t="s">
        <v>46</v>
      </c>
      <c r="C75" s="48"/>
      <c r="D75" s="49"/>
      <c r="E75" s="50"/>
      <c r="F75" s="50"/>
      <c r="G75" s="49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spans="1:26" s="52" customFormat="1" ht="15.75" customHeight="1" x14ac:dyDescent="0.2">
      <c r="A76" s="46" t="s">
        <v>114</v>
      </c>
      <c r="B76" s="47" t="s">
        <v>46</v>
      </c>
      <c r="C76" s="48"/>
      <c r="D76" s="49"/>
      <c r="E76" s="50"/>
      <c r="F76" s="50"/>
      <c r="G76" s="49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spans="1:26" s="52" customFormat="1" ht="15.75" customHeight="1" x14ac:dyDescent="0.2">
      <c r="A77" s="46" t="s">
        <v>115</v>
      </c>
      <c r="B77" s="47" t="s">
        <v>46</v>
      </c>
      <c r="C77" s="48"/>
      <c r="D77" s="49"/>
      <c r="E77" s="50"/>
      <c r="F77" s="50"/>
      <c r="G77" s="49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spans="1:26" s="52" customFormat="1" ht="15.75" customHeight="1" x14ac:dyDescent="0.2">
      <c r="A78" s="46" t="s">
        <v>116</v>
      </c>
      <c r="B78" s="47" t="s">
        <v>46</v>
      </c>
      <c r="C78" s="48"/>
      <c r="D78" s="49"/>
      <c r="E78" s="50"/>
      <c r="F78" s="50"/>
      <c r="G78" s="49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spans="1:26" s="52" customFormat="1" ht="15.75" customHeight="1" x14ac:dyDescent="0.2">
      <c r="A79" s="46" t="s">
        <v>117</v>
      </c>
      <c r="B79" s="47" t="s">
        <v>46</v>
      </c>
      <c r="C79" s="48"/>
      <c r="D79" s="49"/>
      <c r="E79" s="50"/>
      <c r="F79" s="50"/>
      <c r="G79" s="49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spans="1:26" s="52" customFormat="1" ht="15.75" customHeight="1" x14ac:dyDescent="0.2">
      <c r="A80" s="46" t="s">
        <v>118</v>
      </c>
      <c r="B80" s="47" t="s">
        <v>46</v>
      </c>
      <c r="C80" s="48"/>
      <c r="D80" s="49"/>
      <c r="E80" s="50"/>
      <c r="F80" s="50"/>
      <c r="G80" s="49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spans="1:26" s="52" customFormat="1" ht="15.75" customHeight="1" x14ac:dyDescent="0.2">
      <c r="A81" s="46" t="s">
        <v>119</v>
      </c>
      <c r="B81" s="47" t="s">
        <v>46</v>
      </c>
      <c r="C81" s="48"/>
      <c r="D81" s="49"/>
      <c r="E81" s="50"/>
      <c r="F81" s="50"/>
      <c r="G81" s="49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spans="1:26" s="52" customFormat="1" ht="15.75" customHeight="1" x14ac:dyDescent="0.2">
      <c r="A82" s="46" t="s">
        <v>120</v>
      </c>
      <c r="B82" s="47" t="s">
        <v>48</v>
      </c>
      <c r="C82" s="48"/>
      <c r="D82" s="49"/>
      <c r="E82" s="50"/>
      <c r="F82" s="50"/>
      <c r="G82" s="49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spans="1:26" s="52" customFormat="1" ht="15.75" customHeight="1" x14ac:dyDescent="0.2">
      <c r="A83" s="46" t="s">
        <v>121</v>
      </c>
      <c r="B83" s="47" t="s">
        <v>48</v>
      </c>
      <c r="C83" s="48"/>
      <c r="D83" s="49"/>
      <c r="E83" s="50"/>
      <c r="F83" s="50"/>
      <c r="G83" s="49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spans="1:26" s="52" customFormat="1" ht="15.75" customHeight="1" x14ac:dyDescent="0.2">
      <c r="A84" s="46" t="s">
        <v>122</v>
      </c>
      <c r="B84" s="47" t="s">
        <v>48</v>
      </c>
      <c r="C84" s="48"/>
      <c r="D84" s="49"/>
      <c r="E84" s="50"/>
      <c r="F84" s="50"/>
      <c r="G84" s="49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spans="1:26" s="52" customFormat="1" ht="15.75" customHeight="1" x14ac:dyDescent="0.2">
      <c r="A85" s="46" t="s">
        <v>123</v>
      </c>
      <c r="B85" s="47" t="s">
        <v>48</v>
      </c>
      <c r="C85" s="48"/>
      <c r="D85" s="49"/>
      <c r="E85" s="50"/>
      <c r="F85" s="50"/>
      <c r="G85" s="49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spans="1:26" s="52" customFormat="1" ht="15.75" customHeight="1" x14ac:dyDescent="0.2">
      <c r="A86" s="46" t="s">
        <v>124</v>
      </c>
      <c r="B86" s="47" t="s">
        <v>48</v>
      </c>
      <c r="C86" s="48"/>
      <c r="D86" s="49"/>
      <c r="E86" s="50"/>
      <c r="F86" s="50"/>
      <c r="G86" s="49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spans="1:26" s="52" customFormat="1" ht="15.75" customHeight="1" x14ac:dyDescent="0.2">
      <c r="A87" s="46" t="s">
        <v>125</v>
      </c>
      <c r="B87" s="47" t="s">
        <v>48</v>
      </c>
      <c r="C87" s="48"/>
      <c r="D87" s="49"/>
      <c r="E87" s="50"/>
      <c r="F87" s="50"/>
      <c r="G87" s="49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spans="1:26" s="52" customFormat="1" ht="15.75" customHeight="1" x14ac:dyDescent="0.2">
      <c r="A88" s="46" t="s">
        <v>126</v>
      </c>
      <c r="B88" s="47" t="s">
        <v>48</v>
      </c>
      <c r="C88" s="48"/>
      <c r="D88" s="49"/>
      <c r="E88" s="50"/>
      <c r="F88" s="50"/>
      <c r="G88" s="49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spans="1:26" s="52" customFormat="1" ht="15.75" customHeight="1" x14ac:dyDescent="0.2">
      <c r="A89" s="46" t="s">
        <v>127</v>
      </c>
      <c r="B89" s="47" t="s">
        <v>48</v>
      </c>
      <c r="C89" s="48"/>
      <c r="D89" s="49"/>
      <c r="E89" s="50"/>
      <c r="F89" s="50"/>
      <c r="G89" s="49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spans="1:26" s="52" customFormat="1" ht="15.75" customHeight="1" x14ac:dyDescent="0.2">
      <c r="A90" s="46" t="s">
        <v>128</v>
      </c>
      <c r="B90" s="47" t="s">
        <v>48</v>
      </c>
      <c r="C90" s="48"/>
      <c r="D90" s="49"/>
      <c r="E90" s="50"/>
      <c r="F90" s="50"/>
      <c r="G90" s="49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spans="1:26" s="52" customFormat="1" ht="15.75" customHeight="1" x14ac:dyDescent="0.2">
      <c r="A91" s="46" t="s">
        <v>129</v>
      </c>
      <c r="B91" s="47" t="s">
        <v>48</v>
      </c>
      <c r="C91" s="48"/>
      <c r="D91" s="49"/>
      <c r="E91" s="50"/>
      <c r="F91" s="50"/>
      <c r="G91" s="49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spans="1:26" s="52" customFormat="1" ht="15.75" customHeight="1" x14ac:dyDescent="0.2">
      <c r="A92" s="46" t="s">
        <v>130</v>
      </c>
      <c r="B92" s="47" t="s">
        <v>48</v>
      </c>
      <c r="C92" s="48"/>
      <c r="D92" s="49"/>
      <c r="E92" s="50"/>
      <c r="F92" s="50"/>
      <c r="G92" s="49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spans="1:26" s="52" customFormat="1" ht="15.75" customHeight="1" x14ac:dyDescent="0.2">
      <c r="A93" s="46" t="s">
        <v>131</v>
      </c>
      <c r="B93" s="47" t="s">
        <v>48</v>
      </c>
      <c r="C93" s="48"/>
      <c r="D93" s="49"/>
      <c r="E93" s="50"/>
      <c r="F93" s="50"/>
      <c r="G93" s="49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spans="1:26" s="52" customFormat="1" ht="15.75" customHeight="1" x14ac:dyDescent="0.2">
      <c r="A94" s="46" t="s">
        <v>132</v>
      </c>
      <c r="B94" s="47" t="s">
        <v>48</v>
      </c>
      <c r="C94" s="48"/>
      <c r="D94" s="49"/>
      <c r="E94" s="50"/>
      <c r="F94" s="50"/>
      <c r="G94" s="49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spans="1:26" s="52" customFormat="1" ht="15.75" customHeight="1" x14ac:dyDescent="0.2">
      <c r="A95" s="46" t="s">
        <v>133</v>
      </c>
      <c r="B95" s="47" t="s">
        <v>48</v>
      </c>
      <c r="C95" s="48"/>
      <c r="D95" s="49"/>
      <c r="E95" s="50"/>
      <c r="F95" s="50"/>
      <c r="G95" s="49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spans="1:26" s="52" customFormat="1" ht="15.75" customHeight="1" x14ac:dyDescent="0.2">
      <c r="A96" s="46" t="s">
        <v>134</v>
      </c>
      <c r="B96" s="47" t="s">
        <v>48</v>
      </c>
      <c r="C96" s="48"/>
      <c r="D96" s="49"/>
      <c r="E96" s="50"/>
      <c r="F96" s="50"/>
      <c r="G96" s="49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spans="1:26" s="52" customFormat="1" ht="15.75" customHeight="1" x14ac:dyDescent="0.2">
      <c r="A97" s="46" t="s">
        <v>135</v>
      </c>
      <c r="B97" s="47" t="s">
        <v>48</v>
      </c>
      <c r="C97" s="48"/>
      <c r="D97" s="49"/>
      <c r="E97" s="50"/>
      <c r="F97" s="50"/>
      <c r="G97" s="49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spans="1:26" s="52" customFormat="1" ht="15.75" customHeight="1" x14ac:dyDescent="0.2">
      <c r="A98" s="46" t="s">
        <v>136</v>
      </c>
      <c r="B98" s="47" t="s">
        <v>48</v>
      </c>
      <c r="C98" s="48"/>
      <c r="D98" s="49"/>
      <c r="E98" s="50"/>
      <c r="F98" s="50"/>
      <c r="G98" s="49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spans="1:26" s="52" customFormat="1" ht="15.75" customHeight="1" x14ac:dyDescent="0.2">
      <c r="A99" s="46" t="s">
        <v>137</v>
      </c>
      <c r="B99" s="47" t="s">
        <v>48</v>
      </c>
      <c r="C99" s="48"/>
      <c r="D99" s="49"/>
      <c r="E99" s="50"/>
      <c r="F99" s="50"/>
      <c r="G99" s="49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spans="1:26" s="52" customFormat="1" ht="15.75" customHeight="1" x14ac:dyDescent="0.2">
      <c r="A100" s="46" t="s">
        <v>138</v>
      </c>
      <c r="B100" s="47" t="s">
        <v>48</v>
      </c>
      <c r="C100" s="48"/>
      <c r="D100" s="49"/>
      <c r="E100" s="50"/>
      <c r="F100" s="50"/>
      <c r="G100" s="49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spans="1:26" s="52" customFormat="1" ht="15.75" customHeight="1" x14ac:dyDescent="0.2">
      <c r="A101" s="46" t="s">
        <v>139</v>
      </c>
      <c r="B101" s="47" t="s">
        <v>48</v>
      </c>
      <c r="C101" s="48"/>
      <c r="D101" s="49"/>
      <c r="E101" s="50"/>
      <c r="F101" s="50"/>
      <c r="G101" s="49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spans="1:26" s="52" customFormat="1" ht="15.75" customHeight="1" x14ac:dyDescent="0.2">
      <c r="A102" s="46" t="s">
        <v>140</v>
      </c>
      <c r="B102" s="47" t="s">
        <v>48</v>
      </c>
      <c r="C102" s="48"/>
      <c r="D102" s="49"/>
      <c r="E102" s="50"/>
      <c r="F102" s="50"/>
      <c r="G102" s="49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spans="1:26" s="52" customFormat="1" ht="15.75" customHeight="1" x14ac:dyDescent="0.2">
      <c r="A103" s="46" t="s">
        <v>141</v>
      </c>
      <c r="B103" s="47" t="s">
        <v>48</v>
      </c>
      <c r="C103" s="48"/>
      <c r="D103" s="49"/>
      <c r="E103" s="50"/>
      <c r="F103" s="50"/>
      <c r="G103" s="49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spans="1:26" s="52" customFormat="1" ht="15.75" customHeight="1" x14ac:dyDescent="0.2">
      <c r="A104" s="46" t="s">
        <v>142</v>
      </c>
      <c r="B104" s="47" t="s">
        <v>48</v>
      </c>
      <c r="C104" s="48"/>
      <c r="D104" s="49"/>
      <c r="E104" s="50"/>
      <c r="F104" s="50"/>
      <c r="G104" s="49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spans="1:26" s="52" customFormat="1" ht="15.75" customHeight="1" x14ac:dyDescent="0.2">
      <c r="A105" s="46" t="s">
        <v>143</v>
      </c>
      <c r="B105" s="47" t="s">
        <v>48</v>
      </c>
      <c r="C105" s="48"/>
      <c r="D105" s="49"/>
      <c r="E105" s="50"/>
      <c r="F105" s="50"/>
      <c r="G105" s="49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spans="1:26" s="52" customFormat="1" ht="15.75" customHeight="1" x14ac:dyDescent="0.2"/>
    <row r="107" spans="1:26" s="52" customFormat="1" ht="15.75" customHeight="1" x14ac:dyDescent="0.2"/>
    <row r="108" spans="1:26" s="52" customFormat="1" ht="15.75" customHeight="1" x14ac:dyDescent="0.2"/>
    <row r="109" spans="1:26" s="52" customFormat="1" ht="15.75" customHeight="1" x14ac:dyDescent="0.2"/>
    <row r="110" spans="1:26" s="52" customFormat="1" ht="15.75" customHeight="1" x14ac:dyDescent="0.2"/>
    <row r="111" spans="1:26" s="52" customFormat="1" ht="15.75" customHeight="1" x14ac:dyDescent="0.2"/>
    <row r="112" spans="1:26" s="52" customFormat="1" ht="15.75" customHeight="1" x14ac:dyDescent="0.2"/>
    <row r="113" s="52" customFormat="1" ht="15.75" customHeight="1" x14ac:dyDescent="0.2"/>
    <row r="114" s="52" customFormat="1" ht="15.75" customHeight="1" x14ac:dyDescent="0.2"/>
    <row r="115" s="52" customFormat="1" ht="15.75" customHeight="1" x14ac:dyDescent="0.2"/>
    <row r="116" s="52" customFormat="1" ht="15.75" customHeight="1" x14ac:dyDescent="0.2"/>
    <row r="117" s="52" customFormat="1" ht="15.75" customHeight="1" x14ac:dyDescent="0.2"/>
    <row r="118" s="52" customFormat="1" ht="15.75" customHeight="1" x14ac:dyDescent="0.2"/>
    <row r="119" s="52" customFormat="1" ht="15.75" customHeight="1" x14ac:dyDescent="0.2"/>
    <row r="120" s="52" customFormat="1" ht="15.75" customHeight="1" x14ac:dyDescent="0.2"/>
    <row r="121" s="52" customFormat="1" ht="15.75" customHeight="1" x14ac:dyDescent="0.2"/>
    <row r="122" s="52" customFormat="1" ht="15.75" customHeight="1" x14ac:dyDescent="0.2"/>
    <row r="123" s="52" customFormat="1" ht="15.75" customHeight="1" x14ac:dyDescent="0.2"/>
    <row r="124" s="52" customFormat="1" ht="15.75" customHeight="1" x14ac:dyDescent="0.2"/>
    <row r="125" s="52" customFormat="1" ht="15.75" customHeight="1" x14ac:dyDescent="0.2"/>
    <row r="126" s="52" customFormat="1" ht="15.75" customHeight="1" x14ac:dyDescent="0.2"/>
    <row r="127" s="52" customFormat="1" ht="15.75" customHeight="1" x14ac:dyDescent="0.2"/>
    <row r="128" s="52" customFormat="1" ht="15.75" customHeight="1" x14ac:dyDescent="0.2"/>
    <row r="129" s="52" customFormat="1" ht="15.75" customHeight="1" x14ac:dyDescent="0.2"/>
    <row r="130" s="52" customFormat="1" ht="15.75" customHeight="1" x14ac:dyDescent="0.2"/>
    <row r="131" s="52" customFormat="1" ht="15.75" customHeight="1" x14ac:dyDescent="0.2"/>
    <row r="132" s="52" customFormat="1" ht="15.75" customHeight="1" x14ac:dyDescent="0.2"/>
    <row r="133" s="52" customFormat="1" ht="15.75" customHeight="1" x14ac:dyDescent="0.2"/>
    <row r="134" s="52" customFormat="1" ht="15.75" customHeight="1" x14ac:dyDescent="0.2"/>
    <row r="135" s="52" customFormat="1" ht="15.75" customHeight="1" x14ac:dyDescent="0.2"/>
    <row r="136" s="52" customFormat="1" ht="15.75" customHeight="1" x14ac:dyDescent="0.2"/>
    <row r="137" s="52" customFormat="1" ht="15.75" customHeight="1" x14ac:dyDescent="0.2"/>
    <row r="138" s="52" customFormat="1" ht="15.75" customHeight="1" x14ac:dyDescent="0.2"/>
    <row r="139" s="52" customFormat="1" ht="15.75" customHeight="1" x14ac:dyDescent="0.2"/>
    <row r="140" s="52" customFormat="1" ht="15.75" customHeight="1" x14ac:dyDescent="0.2"/>
    <row r="141" s="52" customFormat="1" ht="15.75" customHeight="1" x14ac:dyDescent="0.2"/>
    <row r="142" s="52" customFormat="1" ht="15.75" customHeight="1" x14ac:dyDescent="0.2"/>
    <row r="143" s="52" customFormat="1" ht="15.75" customHeight="1" x14ac:dyDescent="0.2"/>
    <row r="144" s="52" customFormat="1" ht="15.75" customHeight="1" x14ac:dyDescent="0.2"/>
    <row r="145" s="52" customFormat="1" ht="15.75" customHeight="1" x14ac:dyDescent="0.2"/>
    <row r="146" s="52" customFormat="1" ht="15.75" customHeight="1" x14ac:dyDescent="0.2"/>
    <row r="147" s="52" customFormat="1" ht="15.75" customHeight="1" x14ac:dyDescent="0.2"/>
    <row r="148" s="52" customFormat="1" ht="15.75" customHeight="1" x14ac:dyDescent="0.2"/>
    <row r="149" s="52" customFormat="1" ht="15.75" customHeight="1" x14ac:dyDescent="0.2"/>
    <row r="150" s="52" customFormat="1" ht="15.75" customHeight="1" x14ac:dyDescent="0.2"/>
    <row r="151" s="52" customFormat="1" ht="15.75" customHeight="1" x14ac:dyDescent="0.2"/>
    <row r="152" s="52" customFormat="1" ht="15.75" customHeight="1" x14ac:dyDescent="0.2"/>
    <row r="153" s="52" customFormat="1" ht="15.75" customHeight="1" x14ac:dyDescent="0.2"/>
    <row r="154" s="52" customFormat="1" ht="15.75" customHeight="1" x14ac:dyDescent="0.2"/>
    <row r="155" s="52" customFormat="1" ht="15.75" customHeight="1" x14ac:dyDescent="0.2"/>
    <row r="156" s="52" customFormat="1" ht="15.75" customHeight="1" x14ac:dyDescent="0.2"/>
    <row r="157" s="52" customFormat="1" ht="15.75" customHeight="1" x14ac:dyDescent="0.2"/>
    <row r="158" s="52" customFormat="1" ht="15.75" customHeight="1" x14ac:dyDescent="0.2"/>
    <row r="159" s="52" customFormat="1" ht="15.75" customHeight="1" x14ac:dyDescent="0.2"/>
    <row r="160" s="52" customFormat="1" ht="15.75" customHeight="1" x14ac:dyDescent="0.2"/>
    <row r="161" s="52" customFormat="1" ht="15.75" customHeight="1" x14ac:dyDescent="0.2"/>
    <row r="162" s="52" customFormat="1" ht="15.75" customHeight="1" x14ac:dyDescent="0.2"/>
    <row r="163" s="52" customFormat="1" ht="15.75" customHeight="1" x14ac:dyDescent="0.2"/>
    <row r="164" s="52" customFormat="1" ht="15.75" customHeight="1" x14ac:dyDescent="0.2"/>
    <row r="165" s="52" customFormat="1" ht="15.75" customHeight="1" x14ac:dyDescent="0.2"/>
    <row r="166" s="52" customFormat="1" ht="15.75" customHeight="1" x14ac:dyDescent="0.2"/>
    <row r="167" s="52" customFormat="1" ht="15.75" customHeight="1" x14ac:dyDescent="0.2"/>
    <row r="168" s="52" customFormat="1" ht="15.75" customHeight="1" x14ac:dyDescent="0.2"/>
    <row r="169" s="52" customFormat="1" ht="15.75" customHeight="1" x14ac:dyDescent="0.2"/>
    <row r="170" s="52" customFormat="1" ht="15.75" customHeight="1" x14ac:dyDescent="0.2"/>
    <row r="171" s="52" customFormat="1" ht="15.75" customHeight="1" x14ac:dyDescent="0.2"/>
    <row r="172" s="52" customFormat="1" ht="15.75" customHeight="1" x14ac:dyDescent="0.2"/>
    <row r="173" s="52" customFormat="1" ht="15.75" customHeight="1" x14ac:dyDescent="0.2"/>
    <row r="174" s="52" customFormat="1" ht="15.75" customHeight="1" x14ac:dyDescent="0.2"/>
    <row r="175" s="52" customFormat="1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5">
    <mergeCell ref="A13:I13"/>
    <mergeCell ref="B65:C65"/>
    <mergeCell ref="B74:C74"/>
    <mergeCell ref="B68:C68"/>
    <mergeCell ref="B36:C36"/>
    <mergeCell ref="B50:C50"/>
    <mergeCell ref="B105:C105"/>
    <mergeCell ref="B43:C43"/>
    <mergeCell ref="B58:C58"/>
    <mergeCell ref="B52:C52"/>
    <mergeCell ref="B98:C98"/>
    <mergeCell ref="B60:C60"/>
    <mergeCell ref="B57:C57"/>
    <mergeCell ref="B88:C88"/>
    <mergeCell ref="B82:C82"/>
    <mergeCell ref="B44:C44"/>
    <mergeCell ref="B99:C99"/>
    <mergeCell ref="B83:C83"/>
    <mergeCell ref="B92:C92"/>
    <mergeCell ref="B76:C76"/>
    <mergeCell ref="B45:C45"/>
    <mergeCell ref="B85:C85"/>
    <mergeCell ref="A1:I1"/>
    <mergeCell ref="B79:C79"/>
    <mergeCell ref="B97:C97"/>
    <mergeCell ref="B54:C54"/>
    <mergeCell ref="B72:C72"/>
    <mergeCell ref="B81:C81"/>
    <mergeCell ref="A3:I3"/>
    <mergeCell ref="B56:C56"/>
    <mergeCell ref="B71:C71"/>
    <mergeCell ref="B96:C96"/>
    <mergeCell ref="B42:C42"/>
    <mergeCell ref="B17:C17"/>
    <mergeCell ref="B19:C19"/>
    <mergeCell ref="B34:C34"/>
    <mergeCell ref="B28:C28"/>
    <mergeCell ref="B30:C30"/>
    <mergeCell ref="B104:C104"/>
    <mergeCell ref="B51:C51"/>
    <mergeCell ref="B32:C32"/>
    <mergeCell ref="B63:C63"/>
    <mergeCell ref="B26:C26"/>
    <mergeCell ref="B41:C41"/>
    <mergeCell ref="B35:C35"/>
    <mergeCell ref="B90:C90"/>
    <mergeCell ref="B66:C66"/>
    <mergeCell ref="B27:C27"/>
    <mergeCell ref="B53:C53"/>
    <mergeCell ref="B29:C29"/>
    <mergeCell ref="B103:C103"/>
    <mergeCell ref="B37:C37"/>
    <mergeCell ref="B84:C84"/>
    <mergeCell ref="B80:C80"/>
    <mergeCell ref="B14:C14"/>
    <mergeCell ref="B69:C69"/>
    <mergeCell ref="B38:C38"/>
    <mergeCell ref="B78:C78"/>
    <mergeCell ref="B40:C40"/>
    <mergeCell ref="B49:C49"/>
    <mergeCell ref="B55:C55"/>
    <mergeCell ref="B24:C24"/>
    <mergeCell ref="B64:C64"/>
    <mergeCell ref="B33:C33"/>
    <mergeCell ref="B16:C16"/>
    <mergeCell ref="B25:C25"/>
    <mergeCell ref="B18:C18"/>
    <mergeCell ref="B15:C15"/>
    <mergeCell ref="B20:C20"/>
    <mergeCell ref="B75:C75"/>
    <mergeCell ref="B102:C102"/>
    <mergeCell ref="B77:C77"/>
    <mergeCell ref="B21:C21"/>
    <mergeCell ref="B86:C86"/>
    <mergeCell ref="B67:C67"/>
    <mergeCell ref="B61:C61"/>
    <mergeCell ref="B101:C101"/>
    <mergeCell ref="B95:C95"/>
    <mergeCell ref="B89:C89"/>
    <mergeCell ref="B94:C94"/>
    <mergeCell ref="B47:C47"/>
    <mergeCell ref="B62:C62"/>
    <mergeCell ref="B59:C59"/>
    <mergeCell ref="B46:C46"/>
    <mergeCell ref="B39:C39"/>
    <mergeCell ref="B70:C70"/>
    <mergeCell ref="B91:C91"/>
    <mergeCell ref="B100:C100"/>
    <mergeCell ref="B22:C22"/>
    <mergeCell ref="B93:C93"/>
    <mergeCell ref="B31:C31"/>
    <mergeCell ref="B48:C48"/>
    <mergeCell ref="B23:C23"/>
    <mergeCell ref="B73:C73"/>
    <mergeCell ref="B87:C87"/>
  </mergeCells>
  <conditionalFormatting sqref="E5:E11 E15:E105">
    <cfRule type="expression" dxfId="33" priority="2">
      <formula>AND($E5&lt;&gt;"",COUNTIF($G$5:$G$11,$E5)+COUNTIF($E$15:$E$105,$E5)&gt;1)</formula>
    </cfRule>
  </conditionalFormatting>
  <conditionalFormatting sqref="G5:G11">
    <cfRule type="expression" dxfId="32" priority="1">
      <formula>AND($G5&lt;&gt;"",COUNTIF($G$5:$G$11,$G5)+COUNTIF($E$15:$E$105,$G5)&gt;1)</formula>
    </cfRule>
  </conditionalFormatting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pane ySplit="4" topLeftCell="A5" activePane="bottomLeft" state="frozen"/>
      <selection pane="bottomLeft" activeCell="B43" sqref="B43:C43"/>
    </sheetView>
  </sheetViews>
  <sheetFormatPr baseColWidth="10" defaultColWidth="14.5" defaultRowHeight="15" customHeight="1" x14ac:dyDescent="0.2"/>
  <cols>
    <col min="1" max="1" width="8" customWidth="1"/>
    <col min="2" max="2" width="42" customWidth="1"/>
    <col min="3" max="3" width="35" customWidth="1"/>
    <col min="4" max="5" width="14" customWidth="1"/>
    <col min="6" max="6" width="26" customWidth="1"/>
    <col min="7" max="7" width="12" customWidth="1"/>
    <col min="8" max="8" width="13" customWidth="1"/>
    <col min="9" max="9" width="22" customWidth="1"/>
    <col min="10" max="26" width="8.6640625" customWidth="1"/>
  </cols>
  <sheetData>
    <row r="1" spans="1:26" ht="17" x14ac:dyDescent="0.2">
      <c r="A1" s="39" t="s">
        <v>144</v>
      </c>
      <c r="B1" s="40"/>
      <c r="C1" s="40"/>
      <c r="D1" s="40"/>
      <c r="E1" s="40"/>
      <c r="F1" s="40"/>
      <c r="G1" s="40"/>
      <c r="H1" s="40"/>
      <c r="I1" s="40"/>
    </row>
    <row r="2" spans="1:26" x14ac:dyDescent="0.2"/>
    <row r="3" spans="1:26" x14ac:dyDescent="0.2">
      <c r="A3" s="41" t="s">
        <v>26</v>
      </c>
      <c r="B3" s="40"/>
      <c r="C3" s="40"/>
      <c r="D3" s="40"/>
      <c r="E3" s="40"/>
      <c r="F3" s="40"/>
      <c r="G3" s="40"/>
      <c r="H3" s="40"/>
      <c r="I3" s="40"/>
    </row>
    <row r="4" spans="1:26" ht="30" x14ac:dyDescent="0.2">
      <c r="A4" s="4" t="s">
        <v>27</v>
      </c>
      <c r="B4" s="4" t="s">
        <v>28</v>
      </c>
      <c r="C4" s="4" t="s">
        <v>29</v>
      </c>
      <c r="D4" s="4" t="s">
        <v>30</v>
      </c>
      <c r="E4" s="4" t="s">
        <v>31</v>
      </c>
      <c r="F4" s="4" t="s">
        <v>32</v>
      </c>
      <c r="G4" s="4" t="s">
        <v>33</v>
      </c>
      <c r="H4" s="4" t="s">
        <v>34</v>
      </c>
      <c r="I4" s="4" t="s">
        <v>35</v>
      </c>
    </row>
    <row r="5" spans="1:26" s="52" customFormat="1" x14ac:dyDescent="0.2">
      <c r="A5" s="49">
        <v>1</v>
      </c>
      <c r="B5" s="49" t="s">
        <v>145</v>
      </c>
      <c r="C5" s="49" t="s">
        <v>146</v>
      </c>
      <c r="D5" s="49">
        <v>16</v>
      </c>
      <c r="E5" s="49">
        <v>5600</v>
      </c>
      <c r="F5" s="49"/>
      <c r="G5" s="50"/>
      <c r="H5" s="50"/>
      <c r="I5" s="49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spans="1:26" s="52" customFormat="1" x14ac:dyDescent="0.2">
      <c r="A6" s="49">
        <v>2</v>
      </c>
      <c r="B6" s="49" t="s">
        <v>147</v>
      </c>
      <c r="C6" s="49" t="s">
        <v>148</v>
      </c>
      <c r="D6" s="49">
        <v>14</v>
      </c>
      <c r="E6" s="49">
        <v>4900</v>
      </c>
      <c r="F6" s="49"/>
      <c r="G6" s="50"/>
      <c r="H6" s="50"/>
      <c r="I6" s="49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spans="1:26" s="52" customFormat="1" x14ac:dyDescent="0.2">
      <c r="A7" s="49">
        <v>3</v>
      </c>
      <c r="B7" s="49" t="s">
        <v>149</v>
      </c>
      <c r="C7" s="49" t="s">
        <v>150</v>
      </c>
      <c r="D7" s="49">
        <v>9</v>
      </c>
      <c r="E7" s="49">
        <v>3150</v>
      </c>
      <c r="F7" s="49"/>
      <c r="G7" s="50"/>
      <c r="H7" s="50"/>
      <c r="I7" s="49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spans="1:26" s="52" customFormat="1" x14ac:dyDescent="0.2">
      <c r="A8" s="49">
        <v>4</v>
      </c>
      <c r="B8" s="49" t="s">
        <v>151</v>
      </c>
      <c r="C8" s="49" t="s">
        <v>152</v>
      </c>
      <c r="D8" s="49">
        <v>14</v>
      </c>
      <c r="E8" s="49">
        <v>4659</v>
      </c>
      <c r="F8" s="49"/>
      <c r="G8" s="50"/>
      <c r="H8" s="50"/>
      <c r="I8" s="49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spans="1:26" s="52" customFormat="1" x14ac:dyDescent="0.2">
      <c r="A9" s="49">
        <v>5</v>
      </c>
      <c r="B9" s="49" t="s">
        <v>153</v>
      </c>
      <c r="C9" s="49" t="s">
        <v>154</v>
      </c>
      <c r="D9" s="49">
        <v>2</v>
      </c>
      <c r="E9" s="49">
        <v>286</v>
      </c>
      <c r="F9" s="49"/>
      <c r="G9" s="50"/>
      <c r="H9" s="50"/>
      <c r="I9" s="49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spans="1:26" x14ac:dyDescent="0.2"/>
    <row r="11" spans="1:26" x14ac:dyDescent="0.2">
      <c r="A11" s="41" t="s">
        <v>50</v>
      </c>
      <c r="B11" s="40"/>
      <c r="C11" s="40"/>
      <c r="D11" s="40"/>
      <c r="E11" s="40"/>
      <c r="F11" s="40"/>
      <c r="G11" s="40"/>
      <c r="H11" s="40"/>
      <c r="I11" s="40"/>
    </row>
    <row r="12" spans="1:26" ht="30" x14ac:dyDescent="0.2">
      <c r="A12" s="4" t="s">
        <v>51</v>
      </c>
      <c r="B12" s="38" t="s">
        <v>28</v>
      </c>
      <c r="C12" s="36"/>
      <c r="D12" s="4" t="s">
        <v>52</v>
      </c>
      <c r="E12" s="4" t="s">
        <v>33</v>
      </c>
      <c r="F12" s="4" t="s">
        <v>34</v>
      </c>
      <c r="G12" s="4" t="s">
        <v>35</v>
      </c>
    </row>
    <row r="13" spans="1:26" s="52" customFormat="1" x14ac:dyDescent="0.2">
      <c r="A13" s="46" t="s">
        <v>53</v>
      </c>
      <c r="B13" s="47" t="s">
        <v>145</v>
      </c>
      <c r="C13" s="48"/>
      <c r="D13" s="49"/>
      <c r="E13" s="49"/>
      <c r="F13" s="49"/>
      <c r="G13" s="50"/>
      <c r="H13" s="50"/>
      <c r="I13" s="49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spans="1:26" s="52" customFormat="1" x14ac:dyDescent="0.2">
      <c r="A14" s="46" t="s">
        <v>54</v>
      </c>
      <c r="B14" s="47" t="s">
        <v>145</v>
      </c>
      <c r="C14" s="48"/>
      <c r="D14" s="49"/>
      <c r="E14" s="49"/>
      <c r="F14" s="49"/>
      <c r="G14" s="50"/>
      <c r="H14" s="50"/>
      <c r="I14" s="49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spans="1:26" s="52" customFormat="1" x14ac:dyDescent="0.2">
      <c r="A15" s="46" t="s">
        <v>55</v>
      </c>
      <c r="B15" s="47" t="s">
        <v>145</v>
      </c>
      <c r="C15" s="48"/>
      <c r="D15" s="49"/>
      <c r="E15" s="49"/>
      <c r="F15" s="49"/>
      <c r="G15" s="50"/>
      <c r="H15" s="50"/>
      <c r="I15" s="49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spans="1:26" s="52" customFormat="1" x14ac:dyDescent="0.2">
      <c r="A16" s="46" t="s">
        <v>56</v>
      </c>
      <c r="B16" s="47" t="s">
        <v>145</v>
      </c>
      <c r="C16" s="48"/>
      <c r="D16" s="49"/>
      <c r="E16" s="49"/>
      <c r="F16" s="49"/>
      <c r="G16" s="50"/>
      <c r="H16" s="50"/>
      <c r="I16" s="49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spans="1:26" s="52" customFormat="1" x14ac:dyDescent="0.2">
      <c r="A17" s="46" t="s">
        <v>57</v>
      </c>
      <c r="B17" s="47" t="s">
        <v>145</v>
      </c>
      <c r="C17" s="48"/>
      <c r="D17" s="49"/>
      <c r="E17" s="49"/>
      <c r="F17" s="49"/>
      <c r="G17" s="50"/>
      <c r="H17" s="50"/>
      <c r="I17" s="49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spans="1:26" s="52" customFormat="1" x14ac:dyDescent="0.2">
      <c r="A18" s="46" t="s">
        <v>58</v>
      </c>
      <c r="B18" s="47" t="s">
        <v>145</v>
      </c>
      <c r="C18" s="48"/>
      <c r="D18" s="49"/>
      <c r="E18" s="49"/>
      <c r="F18" s="49"/>
      <c r="G18" s="50"/>
      <c r="H18" s="50"/>
      <c r="I18" s="49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spans="1:26" s="52" customFormat="1" x14ac:dyDescent="0.2">
      <c r="A19" s="46" t="s">
        <v>59</v>
      </c>
      <c r="B19" s="47" t="s">
        <v>145</v>
      </c>
      <c r="C19" s="48"/>
      <c r="D19" s="49"/>
      <c r="E19" s="49"/>
      <c r="F19" s="49"/>
      <c r="G19" s="50"/>
      <c r="H19" s="50"/>
      <c r="I19" s="49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spans="1:26" s="52" customFormat="1" x14ac:dyDescent="0.2">
      <c r="A20" s="46" t="s">
        <v>65</v>
      </c>
      <c r="B20" s="47" t="s">
        <v>145</v>
      </c>
      <c r="C20" s="48"/>
      <c r="D20" s="49"/>
      <c r="E20" s="49"/>
      <c r="F20" s="49"/>
      <c r="G20" s="50"/>
      <c r="H20" s="50"/>
      <c r="I20" s="49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spans="1:26" s="52" customFormat="1" x14ac:dyDescent="0.2">
      <c r="A21" s="46" t="s">
        <v>66</v>
      </c>
      <c r="B21" s="47" t="s">
        <v>145</v>
      </c>
      <c r="C21" s="48"/>
      <c r="D21" s="49"/>
      <c r="E21" s="49"/>
      <c r="F21" s="49"/>
      <c r="G21" s="50"/>
      <c r="H21" s="50"/>
      <c r="I21" s="49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spans="1:26" s="52" customFormat="1" x14ac:dyDescent="0.2">
      <c r="A22" s="46" t="s">
        <v>60</v>
      </c>
      <c r="B22" s="47" t="s">
        <v>145</v>
      </c>
      <c r="C22" s="48"/>
      <c r="D22" s="49"/>
      <c r="E22" s="49"/>
      <c r="F22" s="49"/>
      <c r="G22" s="50"/>
      <c r="H22" s="50"/>
      <c r="I22" s="49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spans="1:26" s="52" customFormat="1" x14ac:dyDescent="0.2">
      <c r="A23" s="46" t="s">
        <v>61</v>
      </c>
      <c r="B23" s="47" t="s">
        <v>145</v>
      </c>
      <c r="C23" s="48"/>
      <c r="D23" s="49"/>
      <c r="E23" s="49"/>
      <c r="F23" s="49"/>
      <c r="G23" s="50"/>
      <c r="H23" s="50"/>
      <c r="I23" s="49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spans="1:26" s="52" customFormat="1" x14ac:dyDescent="0.2">
      <c r="A24" s="46" t="s">
        <v>62</v>
      </c>
      <c r="B24" s="47" t="s">
        <v>145</v>
      </c>
      <c r="C24" s="48"/>
      <c r="D24" s="49"/>
      <c r="E24" s="49"/>
      <c r="F24" s="49"/>
      <c r="G24" s="50"/>
      <c r="H24" s="50"/>
      <c r="I24" s="49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spans="1:26" s="52" customFormat="1" x14ac:dyDescent="0.2">
      <c r="A25" s="46" t="s">
        <v>63</v>
      </c>
      <c r="B25" s="47" t="s">
        <v>145</v>
      </c>
      <c r="C25" s="48"/>
      <c r="D25" s="49"/>
      <c r="E25" s="49"/>
      <c r="F25" s="49"/>
      <c r="G25" s="50"/>
      <c r="H25" s="50"/>
      <c r="I25" s="49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spans="1:26" s="52" customFormat="1" x14ac:dyDescent="0.2">
      <c r="A26" s="46" t="s">
        <v>64</v>
      </c>
      <c r="B26" s="47" t="s">
        <v>145</v>
      </c>
      <c r="C26" s="48"/>
      <c r="D26" s="49"/>
      <c r="E26" s="49"/>
      <c r="F26" s="49"/>
      <c r="G26" s="50"/>
      <c r="H26" s="50"/>
      <c r="I26" s="49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spans="1:26" s="52" customFormat="1" x14ac:dyDescent="0.2">
      <c r="A27" s="46" t="s">
        <v>71</v>
      </c>
      <c r="B27" s="47" t="s">
        <v>145</v>
      </c>
      <c r="C27" s="48"/>
      <c r="D27" s="49"/>
      <c r="E27" s="49"/>
      <c r="F27" s="49"/>
      <c r="G27" s="50"/>
      <c r="H27" s="50"/>
      <c r="I27" s="49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spans="1:26" s="52" customFormat="1" x14ac:dyDescent="0.2">
      <c r="A28" s="46" t="s">
        <v>72</v>
      </c>
      <c r="B28" s="47" t="s">
        <v>145</v>
      </c>
      <c r="C28" s="48"/>
      <c r="D28" s="49"/>
      <c r="E28" s="49"/>
      <c r="F28" s="49"/>
      <c r="G28" s="50"/>
      <c r="H28" s="50"/>
      <c r="I28" s="49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spans="1:26" s="52" customFormat="1" x14ac:dyDescent="0.2">
      <c r="A29" s="46" t="s">
        <v>67</v>
      </c>
      <c r="B29" s="47" t="s">
        <v>147</v>
      </c>
      <c r="C29" s="48"/>
      <c r="D29" s="49"/>
      <c r="E29" s="49"/>
      <c r="F29" s="49"/>
      <c r="G29" s="50"/>
      <c r="H29" s="50"/>
      <c r="I29" s="49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spans="1:26" s="52" customFormat="1" x14ac:dyDescent="0.2">
      <c r="A30" s="46" t="s">
        <v>68</v>
      </c>
      <c r="B30" s="47" t="s">
        <v>147</v>
      </c>
      <c r="C30" s="48"/>
      <c r="D30" s="49"/>
      <c r="E30" s="49"/>
      <c r="F30" s="49"/>
      <c r="G30" s="50"/>
      <c r="H30" s="50"/>
      <c r="I30" s="49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spans="1:26" s="52" customFormat="1" x14ac:dyDescent="0.2">
      <c r="A31" s="46" t="s">
        <v>69</v>
      </c>
      <c r="B31" s="47" t="s">
        <v>147</v>
      </c>
      <c r="C31" s="48"/>
      <c r="D31" s="49"/>
      <c r="E31" s="49"/>
      <c r="F31" s="49"/>
      <c r="G31" s="50"/>
      <c r="H31" s="50"/>
      <c r="I31" s="49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spans="1:26" s="52" customFormat="1" x14ac:dyDescent="0.2">
      <c r="A32" s="46" t="s">
        <v>70</v>
      </c>
      <c r="B32" s="47" t="s">
        <v>147</v>
      </c>
      <c r="C32" s="48"/>
      <c r="D32" s="49"/>
      <c r="E32" s="49"/>
      <c r="F32" s="49"/>
      <c r="G32" s="50"/>
      <c r="H32" s="50"/>
      <c r="I32" s="49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spans="1:26" s="52" customFormat="1" x14ac:dyDescent="0.2">
      <c r="A33" s="46" t="s">
        <v>77</v>
      </c>
      <c r="B33" s="47" t="s">
        <v>147</v>
      </c>
      <c r="C33" s="48"/>
      <c r="D33" s="49"/>
      <c r="E33" s="49"/>
      <c r="F33" s="49"/>
      <c r="G33" s="50"/>
      <c r="H33" s="50"/>
      <c r="I33" s="49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spans="1:26" s="52" customFormat="1" x14ac:dyDescent="0.2">
      <c r="A34" s="46" t="s">
        <v>78</v>
      </c>
      <c r="B34" s="47" t="s">
        <v>147</v>
      </c>
      <c r="C34" s="48"/>
      <c r="D34" s="49"/>
      <c r="E34" s="49"/>
      <c r="F34" s="49"/>
      <c r="G34" s="50"/>
      <c r="H34" s="50"/>
      <c r="I34" s="49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spans="1:26" s="52" customFormat="1" x14ac:dyDescent="0.2">
      <c r="A35" s="46" t="s">
        <v>79</v>
      </c>
      <c r="B35" s="47" t="s">
        <v>147</v>
      </c>
      <c r="C35" s="48"/>
      <c r="D35" s="49"/>
      <c r="E35" s="49"/>
      <c r="F35" s="49"/>
      <c r="G35" s="50"/>
      <c r="H35" s="50"/>
      <c r="I35" s="49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spans="1:26" s="52" customFormat="1" x14ac:dyDescent="0.2">
      <c r="A36" s="46" t="s">
        <v>73</v>
      </c>
      <c r="B36" s="47" t="s">
        <v>147</v>
      </c>
      <c r="C36" s="48"/>
      <c r="D36" s="49"/>
      <c r="E36" s="49"/>
      <c r="F36" s="49"/>
      <c r="G36" s="50"/>
      <c r="H36" s="50"/>
      <c r="I36" s="49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spans="1:26" s="52" customFormat="1" x14ac:dyDescent="0.2">
      <c r="A37" s="46" t="s">
        <v>74</v>
      </c>
      <c r="B37" s="47" t="s">
        <v>147</v>
      </c>
      <c r="C37" s="48"/>
      <c r="D37" s="49"/>
      <c r="E37" s="49"/>
      <c r="F37" s="49"/>
      <c r="G37" s="50"/>
      <c r="H37" s="50"/>
      <c r="I37" s="49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spans="1:26" s="52" customFormat="1" x14ac:dyDescent="0.2">
      <c r="A38" s="46" t="s">
        <v>75</v>
      </c>
      <c r="B38" s="47" t="s">
        <v>147</v>
      </c>
      <c r="C38" s="48"/>
      <c r="D38" s="49"/>
      <c r="E38" s="49"/>
      <c r="F38" s="49"/>
      <c r="G38" s="50"/>
      <c r="H38" s="50"/>
      <c r="I38" s="49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spans="1:26" s="52" customFormat="1" x14ac:dyDescent="0.2">
      <c r="A39" s="46" t="s">
        <v>76</v>
      </c>
      <c r="B39" s="47" t="s">
        <v>147</v>
      </c>
      <c r="C39" s="48"/>
      <c r="D39" s="49"/>
      <c r="E39" s="49"/>
      <c r="F39" s="49"/>
      <c r="G39" s="50"/>
      <c r="H39" s="50"/>
      <c r="I39" s="49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6" s="52" customFormat="1" x14ac:dyDescent="0.2">
      <c r="A40" s="46" t="s">
        <v>84</v>
      </c>
      <c r="B40" s="47" t="s">
        <v>147</v>
      </c>
      <c r="C40" s="48"/>
      <c r="D40" s="49"/>
      <c r="E40" s="49"/>
      <c r="F40" s="49"/>
      <c r="G40" s="50"/>
      <c r="H40" s="50"/>
      <c r="I40" s="49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1:26" s="52" customFormat="1" x14ac:dyDescent="0.2">
      <c r="A41" s="46" t="s">
        <v>85</v>
      </c>
      <c r="B41" s="47" t="s">
        <v>147</v>
      </c>
      <c r="C41" s="48"/>
      <c r="D41" s="49"/>
      <c r="E41" s="49"/>
      <c r="F41" s="49"/>
      <c r="G41" s="50"/>
      <c r="H41" s="50"/>
      <c r="I41" s="49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6" s="52" customFormat="1" x14ac:dyDescent="0.2">
      <c r="A42" s="46" t="s">
        <v>86</v>
      </c>
      <c r="B42" s="47" t="s">
        <v>147</v>
      </c>
      <c r="C42" s="48"/>
      <c r="D42" s="49"/>
      <c r="E42" s="49"/>
      <c r="F42" s="49"/>
      <c r="G42" s="50"/>
      <c r="H42" s="50"/>
      <c r="I42" s="49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6" s="52" customFormat="1" x14ac:dyDescent="0.2">
      <c r="A43" s="46" t="s">
        <v>80</v>
      </c>
      <c r="B43" s="47" t="s">
        <v>149</v>
      </c>
      <c r="C43" s="48"/>
      <c r="D43" s="49"/>
      <c r="E43" s="49"/>
      <c r="F43" s="49"/>
      <c r="G43" s="50"/>
      <c r="H43" s="50"/>
      <c r="I43" s="49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6" s="52" customFormat="1" x14ac:dyDescent="0.2">
      <c r="A44" s="46" t="s">
        <v>81</v>
      </c>
      <c r="B44" s="47" t="s">
        <v>149</v>
      </c>
      <c r="C44" s="48"/>
      <c r="D44" s="49"/>
      <c r="E44" s="49"/>
      <c r="F44" s="49"/>
      <c r="G44" s="50"/>
      <c r="H44" s="50"/>
      <c r="I44" s="49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6" s="52" customFormat="1" x14ac:dyDescent="0.2">
      <c r="A45" s="46" t="s">
        <v>82</v>
      </c>
      <c r="B45" s="47" t="s">
        <v>149</v>
      </c>
      <c r="C45" s="48"/>
      <c r="D45" s="49"/>
      <c r="E45" s="49"/>
      <c r="F45" s="49"/>
      <c r="G45" s="50"/>
      <c r="H45" s="50"/>
      <c r="I45" s="49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6" s="52" customFormat="1" x14ac:dyDescent="0.2">
      <c r="A46" s="46" t="s">
        <v>83</v>
      </c>
      <c r="B46" s="47" t="s">
        <v>149</v>
      </c>
      <c r="C46" s="48"/>
      <c r="D46" s="49"/>
      <c r="E46" s="49"/>
      <c r="F46" s="49"/>
      <c r="G46" s="50"/>
      <c r="H46" s="50"/>
      <c r="I46" s="49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s="52" customFormat="1" x14ac:dyDescent="0.2">
      <c r="A47" s="46" t="s">
        <v>90</v>
      </c>
      <c r="B47" s="47" t="s">
        <v>149</v>
      </c>
      <c r="C47" s="48"/>
      <c r="D47" s="49"/>
      <c r="E47" s="49"/>
      <c r="F47" s="49"/>
      <c r="G47" s="50"/>
      <c r="H47" s="50"/>
      <c r="I47" s="49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6" s="52" customFormat="1" x14ac:dyDescent="0.2">
      <c r="A48" s="46" t="s">
        <v>87</v>
      </c>
      <c r="B48" s="47" t="s">
        <v>149</v>
      </c>
      <c r="C48" s="48"/>
      <c r="D48" s="49"/>
      <c r="E48" s="49"/>
      <c r="F48" s="49"/>
      <c r="G48" s="50"/>
      <c r="H48" s="50"/>
      <c r="I48" s="49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 s="52" customFormat="1" x14ac:dyDescent="0.2">
      <c r="A49" s="46" t="s">
        <v>88</v>
      </c>
      <c r="B49" s="47" t="s">
        <v>149</v>
      </c>
      <c r="C49" s="48"/>
      <c r="D49" s="49"/>
      <c r="E49" s="49"/>
      <c r="F49" s="49"/>
      <c r="G49" s="50"/>
      <c r="H49" s="50"/>
      <c r="I49" s="49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 s="52" customFormat="1" x14ac:dyDescent="0.2">
      <c r="A50" s="46" t="s">
        <v>89</v>
      </c>
      <c r="B50" s="47" t="s">
        <v>149</v>
      </c>
      <c r="C50" s="48"/>
      <c r="D50" s="49"/>
      <c r="E50" s="49"/>
      <c r="F50" s="49"/>
      <c r="G50" s="50"/>
      <c r="H50" s="50"/>
      <c r="I50" s="49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 s="52" customFormat="1" x14ac:dyDescent="0.2">
      <c r="A51" s="46" t="s">
        <v>96</v>
      </c>
      <c r="B51" s="47" t="s">
        <v>149</v>
      </c>
      <c r="C51" s="48"/>
      <c r="D51" s="49"/>
      <c r="E51" s="49"/>
      <c r="F51" s="49"/>
      <c r="G51" s="50"/>
      <c r="H51" s="50"/>
      <c r="I51" s="49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 s="52" customFormat="1" x14ac:dyDescent="0.2">
      <c r="A52" s="46" t="s">
        <v>91</v>
      </c>
      <c r="B52" s="47" t="s">
        <v>151</v>
      </c>
      <c r="C52" s="48"/>
      <c r="D52" s="49"/>
      <c r="E52" s="49"/>
      <c r="F52" s="49"/>
      <c r="G52" s="50"/>
      <c r="H52" s="50"/>
      <c r="I52" s="49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s="52" customFormat="1" x14ac:dyDescent="0.2">
      <c r="A53" s="46" t="s">
        <v>92</v>
      </c>
      <c r="B53" s="47" t="s">
        <v>151</v>
      </c>
      <c r="C53" s="48"/>
      <c r="D53" s="49"/>
      <c r="E53" s="49"/>
      <c r="F53" s="49"/>
      <c r="G53" s="50"/>
      <c r="H53" s="50"/>
      <c r="I53" s="49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 s="52" customFormat="1" x14ac:dyDescent="0.2">
      <c r="A54" s="46" t="s">
        <v>93</v>
      </c>
      <c r="B54" s="47" t="s">
        <v>151</v>
      </c>
      <c r="C54" s="48"/>
      <c r="D54" s="49"/>
      <c r="E54" s="49"/>
      <c r="F54" s="49"/>
      <c r="G54" s="50"/>
      <c r="H54" s="50"/>
      <c r="I54" s="49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 s="52" customFormat="1" x14ac:dyDescent="0.2">
      <c r="A55" s="46" t="s">
        <v>94</v>
      </c>
      <c r="B55" s="47" t="s">
        <v>151</v>
      </c>
      <c r="C55" s="48"/>
      <c r="D55" s="49"/>
      <c r="E55" s="49"/>
      <c r="F55" s="49"/>
      <c r="G55" s="50"/>
      <c r="H55" s="50"/>
      <c r="I55" s="49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 s="52" customFormat="1" x14ac:dyDescent="0.2">
      <c r="A56" s="46" t="s">
        <v>95</v>
      </c>
      <c r="B56" s="47" t="s">
        <v>151</v>
      </c>
      <c r="C56" s="48"/>
      <c r="D56" s="49"/>
      <c r="E56" s="49"/>
      <c r="F56" s="49"/>
      <c r="G56" s="50"/>
      <c r="H56" s="50"/>
      <c r="I56" s="49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 s="52" customFormat="1" x14ac:dyDescent="0.2">
      <c r="A57" s="46" t="s">
        <v>102</v>
      </c>
      <c r="B57" s="47" t="s">
        <v>151</v>
      </c>
      <c r="C57" s="48"/>
      <c r="D57" s="49"/>
      <c r="E57" s="49"/>
      <c r="F57" s="49"/>
      <c r="G57" s="50"/>
      <c r="H57" s="50"/>
      <c r="I57" s="49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 s="52" customFormat="1" x14ac:dyDescent="0.2">
      <c r="A58" s="46" t="s">
        <v>103</v>
      </c>
      <c r="B58" s="47" t="s">
        <v>151</v>
      </c>
      <c r="C58" s="48"/>
      <c r="D58" s="49"/>
      <c r="E58" s="49"/>
      <c r="F58" s="49"/>
      <c r="G58" s="50"/>
      <c r="H58" s="50"/>
      <c r="I58" s="49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 s="52" customFormat="1" x14ac:dyDescent="0.2">
      <c r="A59" s="46" t="s">
        <v>97</v>
      </c>
      <c r="B59" s="47" t="s">
        <v>151</v>
      </c>
      <c r="C59" s="48"/>
      <c r="D59" s="49"/>
      <c r="E59" s="49"/>
      <c r="F59" s="49"/>
      <c r="G59" s="50"/>
      <c r="H59" s="50"/>
      <c r="I59" s="49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 s="52" customFormat="1" x14ac:dyDescent="0.2">
      <c r="A60" s="46" t="s">
        <v>98</v>
      </c>
      <c r="B60" s="47" t="s">
        <v>151</v>
      </c>
      <c r="C60" s="48"/>
      <c r="D60" s="49"/>
      <c r="E60" s="49"/>
      <c r="F60" s="49"/>
      <c r="G60" s="50"/>
      <c r="H60" s="50"/>
      <c r="I60" s="49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 s="52" customFormat="1" x14ac:dyDescent="0.2">
      <c r="A61" s="46" t="s">
        <v>99</v>
      </c>
      <c r="B61" s="47" t="s">
        <v>151</v>
      </c>
      <c r="C61" s="48"/>
      <c r="D61" s="49"/>
      <c r="E61" s="49"/>
      <c r="F61" s="49"/>
      <c r="G61" s="50"/>
      <c r="H61" s="50"/>
      <c r="I61" s="49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 s="52" customFormat="1" x14ac:dyDescent="0.2">
      <c r="A62" s="46" t="s">
        <v>100</v>
      </c>
      <c r="B62" s="47" t="s">
        <v>151</v>
      </c>
      <c r="C62" s="48"/>
      <c r="D62" s="49"/>
      <c r="E62" s="49"/>
      <c r="F62" s="49"/>
      <c r="G62" s="50"/>
      <c r="H62" s="50"/>
      <c r="I62" s="49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 s="52" customFormat="1" x14ac:dyDescent="0.2">
      <c r="A63" s="46" t="s">
        <v>101</v>
      </c>
      <c r="B63" s="47" t="s">
        <v>151</v>
      </c>
      <c r="C63" s="48"/>
      <c r="D63" s="49"/>
      <c r="E63" s="49"/>
      <c r="F63" s="49"/>
      <c r="G63" s="50"/>
      <c r="H63" s="50"/>
      <c r="I63" s="49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 s="52" customFormat="1" x14ac:dyDescent="0.2">
      <c r="A64" s="46" t="s">
        <v>106</v>
      </c>
      <c r="B64" s="47" t="s">
        <v>151</v>
      </c>
      <c r="C64" s="48"/>
      <c r="D64" s="49"/>
      <c r="E64" s="49"/>
      <c r="F64" s="49"/>
      <c r="G64" s="50"/>
      <c r="H64" s="50"/>
      <c r="I64" s="49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 s="52" customFormat="1" x14ac:dyDescent="0.2">
      <c r="A65" s="46" t="s">
        <v>107</v>
      </c>
      <c r="B65" s="47" t="s">
        <v>151</v>
      </c>
      <c r="C65" s="48"/>
      <c r="D65" s="49"/>
      <c r="E65" s="49"/>
      <c r="F65" s="49"/>
      <c r="G65" s="50"/>
      <c r="H65" s="50"/>
      <c r="I65" s="49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 s="52" customFormat="1" x14ac:dyDescent="0.2">
      <c r="A66" s="46" t="s">
        <v>53</v>
      </c>
      <c r="B66" s="47" t="s">
        <v>153</v>
      </c>
      <c r="C66" s="48"/>
      <c r="D66" s="49"/>
      <c r="E66" s="49"/>
      <c r="F66" s="49"/>
      <c r="G66" s="50"/>
      <c r="H66" s="50"/>
      <c r="I66" s="49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 s="52" customFormat="1" x14ac:dyDescent="0.2">
      <c r="A67" s="46" t="s">
        <v>60</v>
      </c>
      <c r="B67" s="47" t="s">
        <v>153</v>
      </c>
      <c r="C67" s="48"/>
      <c r="D67" s="49"/>
      <c r="E67" s="49"/>
      <c r="F67" s="49"/>
      <c r="G67" s="50"/>
      <c r="H67" s="50"/>
      <c r="I67" s="49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 s="52" customFormat="1" ht="15.75" customHeight="1" x14ac:dyDescent="0.2"/>
    <row r="69" spans="1:26" ht="15.75" customHeight="1" x14ac:dyDescent="0.2"/>
    <row r="70" spans="1:26" ht="15.75" customHeight="1" x14ac:dyDescent="0.2"/>
    <row r="71" spans="1:26" ht="15.75" customHeight="1" x14ac:dyDescent="0.2"/>
    <row r="72" spans="1:26" ht="15.75" customHeight="1" x14ac:dyDescent="0.2"/>
    <row r="73" spans="1:26" ht="15.75" customHeight="1" x14ac:dyDescent="0.2"/>
    <row r="74" spans="1:26" ht="15.75" customHeight="1" x14ac:dyDescent="0.2"/>
    <row r="75" spans="1:26" ht="15.75" customHeight="1" x14ac:dyDescent="0.2"/>
    <row r="76" spans="1:26" ht="15.75" customHeight="1" x14ac:dyDescent="0.2"/>
    <row r="77" spans="1:26" ht="15.75" customHeight="1" x14ac:dyDescent="0.2"/>
    <row r="78" spans="1:26" ht="15.75" customHeight="1" x14ac:dyDescent="0.2"/>
    <row r="79" spans="1:26" ht="15.75" customHeight="1" x14ac:dyDescent="0.2"/>
    <row r="80" spans="1:2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9">
    <mergeCell ref="A1:I1"/>
    <mergeCell ref="B36:C36"/>
    <mergeCell ref="B32:C32"/>
    <mergeCell ref="B50:C50"/>
    <mergeCell ref="B63:C63"/>
    <mergeCell ref="B26:C26"/>
    <mergeCell ref="B41:C41"/>
    <mergeCell ref="B35:C35"/>
    <mergeCell ref="A11:I11"/>
    <mergeCell ref="B15:C15"/>
    <mergeCell ref="B33:C33"/>
    <mergeCell ref="B51:C51"/>
    <mergeCell ref="B20:C20"/>
    <mergeCell ref="B45:C45"/>
    <mergeCell ref="B65:C65"/>
    <mergeCell ref="B55:C55"/>
    <mergeCell ref="B24:C24"/>
    <mergeCell ref="B30:C30"/>
    <mergeCell ref="B64:C64"/>
    <mergeCell ref="B67:C67"/>
    <mergeCell ref="B42:C42"/>
    <mergeCell ref="B23:C23"/>
    <mergeCell ref="B61:C61"/>
    <mergeCell ref="B14:C14"/>
    <mergeCell ref="B60:C60"/>
    <mergeCell ref="B17:C17"/>
    <mergeCell ref="B57:C57"/>
    <mergeCell ref="B53:C53"/>
    <mergeCell ref="B38:C38"/>
    <mergeCell ref="B44:C44"/>
    <mergeCell ref="B29:C29"/>
    <mergeCell ref="B19:C19"/>
    <mergeCell ref="B34:C34"/>
    <mergeCell ref="B37:C37"/>
    <mergeCell ref="B28:C28"/>
    <mergeCell ref="B66:C66"/>
    <mergeCell ref="A3:I3"/>
    <mergeCell ref="B31:C31"/>
    <mergeCell ref="B27:C27"/>
    <mergeCell ref="B18:C18"/>
    <mergeCell ref="B56:C56"/>
    <mergeCell ref="B43:C43"/>
    <mergeCell ref="B12:C12"/>
    <mergeCell ref="B39:C39"/>
    <mergeCell ref="B58:C58"/>
    <mergeCell ref="B52:C52"/>
    <mergeCell ref="B21:C21"/>
    <mergeCell ref="B48:C48"/>
    <mergeCell ref="B13:C13"/>
    <mergeCell ref="B40:C40"/>
    <mergeCell ref="B49:C49"/>
    <mergeCell ref="B47:C47"/>
    <mergeCell ref="B16:C16"/>
    <mergeCell ref="B54:C54"/>
    <mergeCell ref="B62:C62"/>
    <mergeCell ref="B25:C25"/>
    <mergeCell ref="B59:C59"/>
    <mergeCell ref="B46:C46"/>
    <mergeCell ref="B22:C22"/>
  </mergeCells>
  <conditionalFormatting sqref="E13:E67">
    <cfRule type="expression" dxfId="31" priority="2">
      <formula>AND($E13&lt;&gt;"",COUNTIF($G$5:$G$9,$E13)+COUNTIF($E$13:$E$67,$E13)&gt;1)</formula>
    </cfRule>
  </conditionalFormatting>
  <conditionalFormatting sqref="G5:G9 G13:G67">
    <cfRule type="expression" dxfId="30" priority="1">
      <formula>AND($G5&lt;&gt;"",COUNTIF($G$5:$G$9,$G5)+COUNTIF($E$13:$E$67,$G5)&gt;1)</formula>
    </cfRule>
  </conditionalFormatting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4.5" defaultRowHeight="15" customHeight="1" x14ac:dyDescent="0.2"/>
  <cols>
    <col min="1" max="1" width="8" customWidth="1"/>
    <col min="2" max="2" width="42" customWidth="1"/>
    <col min="3" max="3" width="35" customWidth="1"/>
    <col min="4" max="5" width="14" customWidth="1"/>
    <col min="6" max="6" width="26" customWidth="1"/>
    <col min="7" max="7" width="12" customWidth="1"/>
    <col min="8" max="8" width="13" customWidth="1"/>
    <col min="9" max="9" width="22" customWidth="1"/>
    <col min="10" max="26" width="8.6640625" customWidth="1"/>
  </cols>
  <sheetData>
    <row r="1" spans="1:9" ht="17" x14ac:dyDescent="0.2">
      <c r="A1" s="39" t="s">
        <v>155</v>
      </c>
      <c r="B1" s="40"/>
      <c r="C1" s="40"/>
      <c r="D1" s="40"/>
      <c r="E1" s="40"/>
      <c r="F1" s="40"/>
      <c r="G1" s="40"/>
      <c r="H1" s="40"/>
      <c r="I1" s="40"/>
    </row>
    <row r="2" spans="1:9" x14ac:dyDescent="0.2"/>
    <row r="3" spans="1:9" x14ac:dyDescent="0.2">
      <c r="A3" s="41" t="s">
        <v>26</v>
      </c>
      <c r="B3" s="40"/>
      <c r="C3" s="40"/>
      <c r="D3" s="40"/>
      <c r="E3" s="40"/>
      <c r="F3" s="40"/>
      <c r="G3" s="40"/>
      <c r="H3" s="40"/>
      <c r="I3" s="40"/>
    </row>
    <row r="4" spans="1:9" ht="30" x14ac:dyDescent="0.2">
      <c r="A4" s="4" t="s">
        <v>27</v>
      </c>
      <c r="B4" s="4" t="s">
        <v>28</v>
      </c>
      <c r="C4" s="4" t="s">
        <v>29</v>
      </c>
      <c r="D4" s="4" t="s">
        <v>30</v>
      </c>
      <c r="E4" s="4" t="s">
        <v>31</v>
      </c>
      <c r="F4" s="4" t="s">
        <v>32</v>
      </c>
      <c r="G4" s="4" t="s">
        <v>33</v>
      </c>
      <c r="H4" s="4" t="s">
        <v>34</v>
      </c>
      <c r="I4" s="4" t="s">
        <v>35</v>
      </c>
    </row>
    <row r="5" spans="1:9" x14ac:dyDescent="0.2">
      <c r="A5" s="7">
        <v>1</v>
      </c>
      <c r="B5" s="7" t="s">
        <v>156</v>
      </c>
      <c r="C5" s="7" t="s">
        <v>157</v>
      </c>
      <c r="D5" s="7">
        <v>14</v>
      </c>
      <c r="E5" s="7">
        <v>4900</v>
      </c>
      <c r="F5" s="7"/>
      <c r="G5" s="10"/>
      <c r="H5" s="10"/>
      <c r="I5" s="7"/>
    </row>
    <row r="6" spans="1:9" x14ac:dyDescent="0.2">
      <c r="A6" s="7">
        <v>2</v>
      </c>
      <c r="B6" s="7" t="s">
        <v>158</v>
      </c>
      <c r="C6" s="7" t="s">
        <v>159</v>
      </c>
      <c r="D6" s="7">
        <v>8</v>
      </c>
      <c r="E6" s="7">
        <v>2800</v>
      </c>
      <c r="F6" s="7"/>
      <c r="G6" s="10"/>
      <c r="H6" s="10"/>
      <c r="I6" s="7"/>
    </row>
    <row r="7" spans="1:9" x14ac:dyDescent="0.2">
      <c r="A7" s="7">
        <v>3</v>
      </c>
      <c r="B7" s="7" t="s">
        <v>160</v>
      </c>
      <c r="C7" s="7" t="s">
        <v>161</v>
      </c>
      <c r="D7" s="7">
        <v>10</v>
      </c>
      <c r="E7" s="7">
        <v>3500</v>
      </c>
      <c r="F7" s="7"/>
      <c r="G7" s="10"/>
      <c r="H7" s="10"/>
      <c r="I7" s="7"/>
    </row>
    <row r="8" spans="1:9" x14ac:dyDescent="0.2">
      <c r="A8" s="7">
        <v>4</v>
      </c>
      <c r="B8" s="7" t="s">
        <v>162</v>
      </c>
      <c r="C8" s="7" t="s">
        <v>163</v>
      </c>
      <c r="D8" s="7">
        <v>8</v>
      </c>
      <c r="E8" s="7">
        <v>2800</v>
      </c>
      <c r="F8" s="7"/>
      <c r="G8" s="10"/>
      <c r="H8" s="10"/>
      <c r="I8" s="7"/>
    </row>
    <row r="9" spans="1:9" x14ac:dyDescent="0.2">
      <c r="A9" s="7">
        <v>5</v>
      </c>
      <c r="B9" s="7" t="s">
        <v>164</v>
      </c>
      <c r="C9" s="7" t="s">
        <v>165</v>
      </c>
      <c r="D9" s="7">
        <v>8</v>
      </c>
      <c r="E9" s="7">
        <v>2488</v>
      </c>
      <c r="F9" s="7"/>
      <c r="G9" s="10"/>
      <c r="H9" s="10"/>
      <c r="I9" s="7"/>
    </row>
    <row r="10" spans="1:9" x14ac:dyDescent="0.2"/>
    <row r="11" spans="1:9" x14ac:dyDescent="0.2">
      <c r="A11" s="41" t="s">
        <v>50</v>
      </c>
      <c r="B11" s="40"/>
      <c r="C11" s="40"/>
      <c r="D11" s="40"/>
      <c r="E11" s="40"/>
      <c r="F11" s="40"/>
      <c r="G11" s="40"/>
      <c r="H11" s="40"/>
      <c r="I11" s="40"/>
    </row>
    <row r="12" spans="1:9" ht="30" x14ac:dyDescent="0.2">
      <c r="A12" s="4" t="s">
        <v>51</v>
      </c>
      <c r="B12" s="38" t="s">
        <v>28</v>
      </c>
      <c r="C12" s="36"/>
      <c r="D12" s="4" t="s">
        <v>52</v>
      </c>
      <c r="E12" s="4" t="s">
        <v>33</v>
      </c>
      <c r="F12" s="4" t="s">
        <v>34</v>
      </c>
      <c r="G12" s="4" t="s">
        <v>35</v>
      </c>
    </row>
    <row r="13" spans="1:9" x14ac:dyDescent="0.2">
      <c r="A13" s="28" t="s">
        <v>53</v>
      </c>
      <c r="B13" s="42" t="s">
        <v>156</v>
      </c>
      <c r="C13" s="36"/>
      <c r="D13" s="7"/>
      <c r="E13" s="10"/>
      <c r="F13" s="10"/>
      <c r="G13" s="7"/>
    </row>
    <row r="14" spans="1:9" x14ac:dyDescent="0.2">
      <c r="A14" s="28" t="s">
        <v>54</v>
      </c>
      <c r="B14" s="42" t="s">
        <v>156</v>
      </c>
      <c r="C14" s="36"/>
      <c r="D14" s="7"/>
      <c r="E14" s="10"/>
      <c r="F14" s="10"/>
      <c r="G14" s="7"/>
    </row>
    <row r="15" spans="1:9" x14ac:dyDescent="0.2">
      <c r="A15" s="28" t="s">
        <v>55</v>
      </c>
      <c r="B15" s="42" t="s">
        <v>156</v>
      </c>
      <c r="C15" s="36"/>
      <c r="D15" s="7"/>
      <c r="E15" s="10"/>
      <c r="F15" s="10"/>
      <c r="G15" s="7"/>
    </row>
    <row r="16" spans="1:9" x14ac:dyDescent="0.2">
      <c r="A16" s="28" t="s">
        <v>56</v>
      </c>
      <c r="B16" s="42" t="s">
        <v>156</v>
      </c>
      <c r="C16" s="36"/>
      <c r="D16" s="7"/>
      <c r="E16" s="10"/>
      <c r="F16" s="10"/>
      <c r="G16" s="7"/>
    </row>
    <row r="17" spans="1:7" x14ac:dyDescent="0.2">
      <c r="A17" s="28" t="s">
        <v>57</v>
      </c>
      <c r="B17" s="42" t="s">
        <v>156</v>
      </c>
      <c r="C17" s="36"/>
      <c r="D17" s="7"/>
      <c r="E17" s="10"/>
      <c r="F17" s="10"/>
      <c r="G17" s="7"/>
    </row>
    <row r="18" spans="1:7" x14ac:dyDescent="0.2">
      <c r="A18" s="28" t="s">
        <v>58</v>
      </c>
      <c r="B18" s="42" t="s">
        <v>156</v>
      </c>
      <c r="C18" s="36"/>
      <c r="D18" s="7"/>
      <c r="E18" s="10"/>
      <c r="F18" s="10"/>
      <c r="G18" s="7"/>
    </row>
    <row r="19" spans="1:7" x14ac:dyDescent="0.2">
      <c r="A19" s="28" t="s">
        <v>59</v>
      </c>
      <c r="B19" s="42" t="s">
        <v>156</v>
      </c>
      <c r="C19" s="36"/>
      <c r="D19" s="7"/>
      <c r="E19" s="10"/>
      <c r="F19" s="10"/>
      <c r="G19" s="7"/>
    </row>
    <row r="20" spans="1:7" x14ac:dyDescent="0.2">
      <c r="A20" s="28" t="s">
        <v>65</v>
      </c>
      <c r="B20" s="42" t="s">
        <v>156</v>
      </c>
      <c r="C20" s="36"/>
      <c r="D20" s="7"/>
      <c r="E20" s="10"/>
      <c r="F20" s="10"/>
      <c r="G20" s="7"/>
    </row>
    <row r="21" spans="1:7" ht="15.75" customHeight="1" x14ac:dyDescent="0.2">
      <c r="A21" s="28" t="s">
        <v>60</v>
      </c>
      <c r="B21" s="42" t="s">
        <v>156</v>
      </c>
      <c r="C21" s="36"/>
      <c r="D21" s="7"/>
      <c r="E21" s="10"/>
      <c r="F21" s="10"/>
      <c r="G21" s="7"/>
    </row>
    <row r="22" spans="1:7" ht="15.75" customHeight="1" x14ac:dyDescent="0.2">
      <c r="A22" s="28" t="s">
        <v>61</v>
      </c>
      <c r="B22" s="42" t="s">
        <v>156</v>
      </c>
      <c r="C22" s="36"/>
      <c r="D22" s="7"/>
      <c r="E22" s="10"/>
      <c r="F22" s="10"/>
      <c r="G22" s="7"/>
    </row>
    <row r="23" spans="1:7" ht="15.75" customHeight="1" x14ac:dyDescent="0.2">
      <c r="A23" s="28" t="s">
        <v>62</v>
      </c>
      <c r="B23" s="42" t="s">
        <v>156</v>
      </c>
      <c r="C23" s="36"/>
      <c r="D23" s="7"/>
      <c r="E23" s="10"/>
      <c r="F23" s="10"/>
      <c r="G23" s="7"/>
    </row>
    <row r="24" spans="1:7" ht="15.75" customHeight="1" x14ac:dyDescent="0.2">
      <c r="A24" s="28" t="s">
        <v>63</v>
      </c>
      <c r="B24" s="42" t="s">
        <v>156</v>
      </c>
      <c r="C24" s="36"/>
      <c r="D24" s="7"/>
      <c r="E24" s="10"/>
      <c r="F24" s="10"/>
      <c r="G24" s="7"/>
    </row>
    <row r="25" spans="1:7" ht="15.75" customHeight="1" x14ac:dyDescent="0.2">
      <c r="A25" s="28" t="s">
        <v>64</v>
      </c>
      <c r="B25" s="42" t="s">
        <v>156</v>
      </c>
      <c r="C25" s="36"/>
      <c r="D25" s="7"/>
      <c r="E25" s="10"/>
      <c r="F25" s="10"/>
      <c r="G25" s="7"/>
    </row>
    <row r="26" spans="1:7" ht="15.75" customHeight="1" x14ac:dyDescent="0.2">
      <c r="A26" s="28" t="s">
        <v>71</v>
      </c>
      <c r="B26" s="42" t="s">
        <v>156</v>
      </c>
      <c r="C26" s="36"/>
      <c r="D26" s="7"/>
      <c r="E26" s="10"/>
      <c r="F26" s="10"/>
      <c r="G26" s="7"/>
    </row>
    <row r="27" spans="1:7" ht="15.75" customHeight="1" x14ac:dyDescent="0.2">
      <c r="A27" s="28" t="s">
        <v>66</v>
      </c>
      <c r="B27" s="42" t="s">
        <v>158</v>
      </c>
      <c r="C27" s="36"/>
      <c r="D27" s="7"/>
      <c r="E27" s="10"/>
      <c r="F27" s="10"/>
      <c r="G27" s="7"/>
    </row>
    <row r="28" spans="1:7" ht="15.75" customHeight="1" x14ac:dyDescent="0.2">
      <c r="A28" s="28" t="s">
        <v>67</v>
      </c>
      <c r="B28" s="42" t="s">
        <v>158</v>
      </c>
      <c r="C28" s="36"/>
      <c r="D28" s="7"/>
      <c r="E28" s="10"/>
      <c r="F28" s="10"/>
      <c r="G28" s="7"/>
    </row>
    <row r="29" spans="1:7" ht="15.75" customHeight="1" x14ac:dyDescent="0.2">
      <c r="A29" s="28" t="s">
        <v>68</v>
      </c>
      <c r="B29" s="42" t="s">
        <v>158</v>
      </c>
      <c r="C29" s="36"/>
      <c r="D29" s="7"/>
      <c r="E29" s="10"/>
      <c r="F29" s="10"/>
      <c r="G29" s="7"/>
    </row>
    <row r="30" spans="1:7" ht="15.75" customHeight="1" x14ac:dyDescent="0.2">
      <c r="A30" s="28" t="s">
        <v>69</v>
      </c>
      <c r="B30" s="42" t="s">
        <v>158</v>
      </c>
      <c r="C30" s="36"/>
      <c r="D30" s="7"/>
      <c r="E30" s="10"/>
      <c r="F30" s="10"/>
      <c r="G30" s="7"/>
    </row>
    <row r="31" spans="1:7" ht="15.75" customHeight="1" x14ac:dyDescent="0.2">
      <c r="A31" s="28" t="s">
        <v>72</v>
      </c>
      <c r="B31" s="42" t="s">
        <v>158</v>
      </c>
      <c r="C31" s="36"/>
      <c r="D31" s="7"/>
      <c r="E31" s="10"/>
      <c r="F31" s="10"/>
      <c r="G31" s="7"/>
    </row>
    <row r="32" spans="1:7" ht="15.75" customHeight="1" x14ac:dyDescent="0.2">
      <c r="A32" s="28" t="s">
        <v>73</v>
      </c>
      <c r="B32" s="42" t="s">
        <v>158</v>
      </c>
      <c r="C32" s="36"/>
      <c r="D32" s="7"/>
      <c r="E32" s="10"/>
      <c r="F32" s="10"/>
      <c r="G32" s="7"/>
    </row>
    <row r="33" spans="1:7" ht="15.75" customHeight="1" x14ac:dyDescent="0.2">
      <c r="A33" s="28" t="s">
        <v>74</v>
      </c>
      <c r="B33" s="42" t="s">
        <v>158</v>
      </c>
      <c r="C33" s="36"/>
      <c r="D33" s="7"/>
      <c r="E33" s="10"/>
      <c r="F33" s="10"/>
      <c r="G33" s="7"/>
    </row>
    <row r="34" spans="1:7" ht="15.75" customHeight="1" x14ac:dyDescent="0.2">
      <c r="A34" s="28" t="s">
        <v>75</v>
      </c>
      <c r="B34" s="42" t="s">
        <v>158</v>
      </c>
      <c r="C34" s="36"/>
      <c r="D34" s="7"/>
      <c r="E34" s="10"/>
      <c r="F34" s="10"/>
      <c r="G34" s="7"/>
    </row>
    <row r="35" spans="1:7" ht="15.75" customHeight="1" x14ac:dyDescent="0.2">
      <c r="A35" s="28" t="s">
        <v>70</v>
      </c>
      <c r="B35" s="42" t="s">
        <v>160</v>
      </c>
      <c r="C35" s="36"/>
      <c r="D35" s="7"/>
      <c r="E35" s="10"/>
      <c r="F35" s="10"/>
      <c r="G35" s="7"/>
    </row>
    <row r="36" spans="1:7" ht="15.75" customHeight="1" x14ac:dyDescent="0.2">
      <c r="A36" s="28" t="s">
        <v>77</v>
      </c>
      <c r="B36" s="42" t="s">
        <v>160</v>
      </c>
      <c r="C36" s="36"/>
      <c r="D36" s="7"/>
      <c r="E36" s="10"/>
      <c r="F36" s="10"/>
      <c r="G36" s="7"/>
    </row>
    <row r="37" spans="1:7" ht="15.75" customHeight="1" x14ac:dyDescent="0.2">
      <c r="A37" s="28" t="s">
        <v>78</v>
      </c>
      <c r="B37" s="42" t="s">
        <v>160</v>
      </c>
      <c r="C37" s="36"/>
      <c r="D37" s="7"/>
      <c r="E37" s="10"/>
      <c r="F37" s="10"/>
      <c r="G37" s="7"/>
    </row>
    <row r="38" spans="1:7" ht="15.75" customHeight="1" x14ac:dyDescent="0.2">
      <c r="A38" s="28" t="s">
        <v>79</v>
      </c>
      <c r="B38" s="42" t="s">
        <v>160</v>
      </c>
      <c r="C38" s="36"/>
      <c r="D38" s="7"/>
      <c r="E38" s="10"/>
      <c r="F38" s="10"/>
      <c r="G38" s="7"/>
    </row>
    <row r="39" spans="1:7" ht="15.75" customHeight="1" x14ac:dyDescent="0.2">
      <c r="A39" s="28" t="s">
        <v>80</v>
      </c>
      <c r="B39" s="42" t="s">
        <v>160</v>
      </c>
      <c r="C39" s="36"/>
      <c r="D39" s="7"/>
      <c r="E39" s="10"/>
      <c r="F39" s="10"/>
      <c r="G39" s="7"/>
    </row>
    <row r="40" spans="1:7" ht="15.75" customHeight="1" x14ac:dyDescent="0.2">
      <c r="A40" s="28" t="s">
        <v>76</v>
      </c>
      <c r="B40" s="42" t="s">
        <v>160</v>
      </c>
      <c r="C40" s="36"/>
      <c r="D40" s="7"/>
      <c r="E40" s="10"/>
      <c r="F40" s="10"/>
      <c r="G40" s="7"/>
    </row>
    <row r="41" spans="1:7" ht="15.75" customHeight="1" x14ac:dyDescent="0.2">
      <c r="A41" s="28" t="s">
        <v>84</v>
      </c>
      <c r="B41" s="42" t="s">
        <v>160</v>
      </c>
      <c r="C41" s="36"/>
      <c r="D41" s="7"/>
      <c r="E41" s="10"/>
      <c r="F41" s="10"/>
      <c r="G41" s="7"/>
    </row>
    <row r="42" spans="1:7" ht="15.75" customHeight="1" x14ac:dyDescent="0.2">
      <c r="A42" s="28" t="s">
        <v>85</v>
      </c>
      <c r="B42" s="42" t="s">
        <v>160</v>
      </c>
      <c r="C42" s="36"/>
      <c r="D42" s="7"/>
      <c r="E42" s="10"/>
      <c r="F42" s="10"/>
      <c r="G42" s="7"/>
    </row>
    <row r="43" spans="1:7" ht="15.75" customHeight="1" x14ac:dyDescent="0.2">
      <c r="A43" s="28" t="s">
        <v>86</v>
      </c>
      <c r="B43" s="42" t="s">
        <v>160</v>
      </c>
      <c r="C43" s="36"/>
      <c r="D43" s="7"/>
      <c r="E43" s="10"/>
      <c r="F43" s="10"/>
      <c r="G43" s="7"/>
    </row>
    <row r="44" spans="1:7" ht="15.75" customHeight="1" x14ac:dyDescent="0.2">
      <c r="A44" s="28" t="s">
        <v>87</v>
      </c>
      <c r="B44" s="42" t="s">
        <v>160</v>
      </c>
      <c r="C44" s="36"/>
      <c r="D44" s="7"/>
      <c r="E44" s="10"/>
      <c r="F44" s="10"/>
      <c r="G44" s="7"/>
    </row>
    <row r="45" spans="1:7" ht="15.75" customHeight="1" x14ac:dyDescent="0.2">
      <c r="A45" s="28" t="s">
        <v>81</v>
      </c>
      <c r="B45" s="42" t="s">
        <v>162</v>
      </c>
      <c r="C45" s="36"/>
      <c r="D45" s="7"/>
      <c r="E45" s="10"/>
      <c r="F45" s="10"/>
      <c r="G45" s="7"/>
    </row>
    <row r="46" spans="1:7" ht="15.75" customHeight="1" x14ac:dyDescent="0.2">
      <c r="A46" s="28" t="s">
        <v>82</v>
      </c>
      <c r="B46" s="42" t="s">
        <v>162</v>
      </c>
      <c r="C46" s="36"/>
      <c r="D46" s="7"/>
      <c r="E46" s="10"/>
      <c r="F46" s="10"/>
      <c r="G46" s="7"/>
    </row>
    <row r="47" spans="1:7" ht="15.75" customHeight="1" x14ac:dyDescent="0.2">
      <c r="A47" s="28" t="s">
        <v>83</v>
      </c>
      <c r="B47" s="42" t="s">
        <v>162</v>
      </c>
      <c r="C47" s="36"/>
      <c r="D47" s="7"/>
      <c r="E47" s="10"/>
      <c r="F47" s="10"/>
      <c r="G47" s="7"/>
    </row>
    <row r="48" spans="1:7" ht="15.75" customHeight="1" x14ac:dyDescent="0.2">
      <c r="A48" s="28" t="s">
        <v>90</v>
      </c>
      <c r="B48" s="42" t="s">
        <v>162</v>
      </c>
      <c r="C48" s="36"/>
      <c r="D48" s="7"/>
      <c r="E48" s="10"/>
      <c r="F48" s="10"/>
      <c r="G48" s="7"/>
    </row>
    <row r="49" spans="1:7" ht="15.75" customHeight="1" x14ac:dyDescent="0.2">
      <c r="A49" s="28" t="s">
        <v>88</v>
      </c>
      <c r="B49" s="42" t="s">
        <v>162</v>
      </c>
      <c r="C49" s="36"/>
      <c r="D49" s="7"/>
      <c r="E49" s="10"/>
      <c r="F49" s="10"/>
      <c r="G49" s="7"/>
    </row>
    <row r="50" spans="1:7" ht="15.75" customHeight="1" x14ac:dyDescent="0.2">
      <c r="A50" s="28" t="s">
        <v>89</v>
      </c>
      <c r="B50" s="42" t="s">
        <v>162</v>
      </c>
      <c r="C50" s="36"/>
      <c r="D50" s="7"/>
      <c r="E50" s="10"/>
      <c r="F50" s="10"/>
      <c r="G50" s="7"/>
    </row>
    <row r="51" spans="1:7" ht="15.75" customHeight="1" x14ac:dyDescent="0.2">
      <c r="A51" s="28" t="s">
        <v>96</v>
      </c>
      <c r="B51" s="42" t="s">
        <v>162</v>
      </c>
      <c r="C51" s="36"/>
      <c r="D51" s="7"/>
      <c r="E51" s="10"/>
      <c r="F51" s="10"/>
      <c r="G51" s="7"/>
    </row>
    <row r="52" spans="1:7" ht="15.75" customHeight="1" x14ac:dyDescent="0.2">
      <c r="A52" s="28" t="s">
        <v>97</v>
      </c>
      <c r="B52" s="42" t="s">
        <v>162</v>
      </c>
      <c r="C52" s="36"/>
      <c r="D52" s="7"/>
      <c r="E52" s="10"/>
      <c r="F52" s="10"/>
      <c r="G52" s="7"/>
    </row>
    <row r="53" spans="1:7" ht="15.75" customHeight="1" x14ac:dyDescent="0.2">
      <c r="A53" s="28" t="s">
        <v>91</v>
      </c>
      <c r="B53" s="42" t="s">
        <v>164</v>
      </c>
      <c r="C53" s="36"/>
      <c r="D53" s="7"/>
      <c r="E53" s="10"/>
      <c r="F53" s="10"/>
      <c r="G53" s="7"/>
    </row>
    <row r="54" spans="1:7" ht="15.75" customHeight="1" x14ac:dyDescent="0.2">
      <c r="A54" s="28" t="s">
        <v>92</v>
      </c>
      <c r="B54" s="42" t="s">
        <v>164</v>
      </c>
      <c r="C54" s="36"/>
      <c r="D54" s="7"/>
      <c r="E54" s="10"/>
      <c r="F54" s="10"/>
      <c r="G54" s="7"/>
    </row>
    <row r="55" spans="1:7" ht="15.75" customHeight="1" x14ac:dyDescent="0.2">
      <c r="A55" s="28" t="s">
        <v>93</v>
      </c>
      <c r="B55" s="42" t="s">
        <v>164</v>
      </c>
      <c r="C55" s="36"/>
      <c r="D55" s="7"/>
      <c r="E55" s="10"/>
      <c r="F55" s="10"/>
      <c r="G55" s="7"/>
    </row>
    <row r="56" spans="1:7" ht="15.75" customHeight="1" x14ac:dyDescent="0.2">
      <c r="A56" s="28" t="s">
        <v>94</v>
      </c>
      <c r="B56" s="42" t="s">
        <v>164</v>
      </c>
      <c r="C56" s="36"/>
      <c r="D56" s="7"/>
      <c r="E56" s="10"/>
      <c r="F56" s="10"/>
      <c r="G56" s="7"/>
    </row>
    <row r="57" spans="1:7" ht="15.75" customHeight="1" x14ac:dyDescent="0.2">
      <c r="A57" s="28" t="s">
        <v>98</v>
      </c>
      <c r="B57" s="42" t="s">
        <v>164</v>
      </c>
      <c r="C57" s="36"/>
      <c r="D57" s="7"/>
      <c r="E57" s="10"/>
      <c r="F57" s="10"/>
      <c r="G57" s="7"/>
    </row>
    <row r="58" spans="1:7" ht="15.75" customHeight="1" x14ac:dyDescent="0.2">
      <c r="A58" s="28" t="s">
        <v>99</v>
      </c>
      <c r="B58" s="42" t="s">
        <v>164</v>
      </c>
      <c r="C58" s="36"/>
      <c r="D58" s="7"/>
      <c r="E58" s="10"/>
      <c r="F58" s="10"/>
      <c r="G58" s="7"/>
    </row>
    <row r="59" spans="1:7" ht="15.75" customHeight="1" x14ac:dyDescent="0.2">
      <c r="A59" s="28" t="s">
        <v>100</v>
      </c>
      <c r="B59" s="42" t="s">
        <v>164</v>
      </c>
      <c r="C59" s="36"/>
      <c r="D59" s="7"/>
      <c r="E59" s="10"/>
      <c r="F59" s="10"/>
      <c r="G59" s="7"/>
    </row>
    <row r="60" spans="1:7" ht="15.75" customHeight="1" x14ac:dyDescent="0.2">
      <c r="A60" s="28" t="s">
        <v>101</v>
      </c>
      <c r="B60" s="42" t="s">
        <v>164</v>
      </c>
      <c r="C60" s="36"/>
      <c r="D60" s="7"/>
      <c r="E60" s="10"/>
      <c r="F60" s="10"/>
      <c r="G60" s="7"/>
    </row>
    <row r="61" spans="1:7" ht="15.75" customHeight="1" x14ac:dyDescent="0.2"/>
    <row r="62" spans="1:7" ht="15.75" customHeight="1" x14ac:dyDescent="0.2"/>
    <row r="63" spans="1:7" ht="15.75" customHeight="1" x14ac:dyDescent="0.2"/>
    <row r="64" spans="1:7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2">
    <mergeCell ref="A1:I1"/>
    <mergeCell ref="B36:C36"/>
    <mergeCell ref="B32:C32"/>
    <mergeCell ref="B50:C50"/>
    <mergeCell ref="B26:C26"/>
    <mergeCell ref="B41:C41"/>
    <mergeCell ref="B35:C35"/>
    <mergeCell ref="B15:C15"/>
    <mergeCell ref="B33:C33"/>
    <mergeCell ref="B51:C51"/>
    <mergeCell ref="B20:C20"/>
    <mergeCell ref="B45:C45"/>
    <mergeCell ref="B60:C60"/>
    <mergeCell ref="B17:C17"/>
    <mergeCell ref="B57:C57"/>
    <mergeCell ref="B53:C53"/>
    <mergeCell ref="B13:C13"/>
    <mergeCell ref="B38:C38"/>
    <mergeCell ref="B44:C44"/>
    <mergeCell ref="B29:C29"/>
    <mergeCell ref="B19:C19"/>
    <mergeCell ref="B34:C34"/>
    <mergeCell ref="B37:C37"/>
    <mergeCell ref="B28:C28"/>
    <mergeCell ref="B40:C40"/>
    <mergeCell ref="B49:C49"/>
    <mergeCell ref="B55:C55"/>
    <mergeCell ref="B24:C24"/>
    <mergeCell ref="A3:I3"/>
    <mergeCell ref="B31:C31"/>
    <mergeCell ref="B27:C27"/>
    <mergeCell ref="B18:C18"/>
    <mergeCell ref="B56:C56"/>
    <mergeCell ref="B43:C43"/>
    <mergeCell ref="B12:C12"/>
    <mergeCell ref="B39:C39"/>
    <mergeCell ref="B52:C52"/>
    <mergeCell ref="B21:C21"/>
    <mergeCell ref="B48:C48"/>
    <mergeCell ref="B42:C42"/>
    <mergeCell ref="B23:C23"/>
    <mergeCell ref="B14:C14"/>
    <mergeCell ref="B30:C30"/>
    <mergeCell ref="A11:I11"/>
    <mergeCell ref="B47:C47"/>
    <mergeCell ref="B16:C16"/>
    <mergeCell ref="B54:C54"/>
    <mergeCell ref="B25:C25"/>
    <mergeCell ref="B59:C59"/>
    <mergeCell ref="B46:C46"/>
    <mergeCell ref="B22:C22"/>
    <mergeCell ref="B58:C58"/>
  </mergeCells>
  <conditionalFormatting sqref="E13:E60">
    <cfRule type="expression" dxfId="29" priority="2">
      <formula>AND($E13&lt;&gt;"",COUNTIF($G$5:$G$9,$E13)+COUNTIF($E$13:$E$60,$E13)&gt;1)</formula>
    </cfRule>
  </conditionalFormatting>
  <conditionalFormatting sqref="G5:G9">
    <cfRule type="expression" dxfId="28" priority="1">
      <formula>AND($G5&lt;&gt;"",COUNTIF($G$5:$G$9,$G5)+COUNTIF($E$13:$E$60,$G5)&gt;1)</formula>
    </cfRule>
  </conditionalFormatting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4.5" defaultRowHeight="15" customHeight="1" x14ac:dyDescent="0.2"/>
  <cols>
    <col min="1" max="1" width="8" customWidth="1"/>
    <col min="2" max="2" width="42" customWidth="1"/>
    <col min="3" max="3" width="35" customWidth="1"/>
    <col min="4" max="5" width="14" customWidth="1"/>
    <col min="6" max="6" width="26" customWidth="1"/>
    <col min="7" max="7" width="12" customWidth="1"/>
    <col min="8" max="8" width="13" customWidth="1"/>
    <col min="9" max="9" width="22" customWidth="1"/>
    <col min="10" max="26" width="8.6640625" customWidth="1"/>
  </cols>
  <sheetData>
    <row r="1" spans="1:9" ht="17" x14ac:dyDescent="0.2">
      <c r="A1" s="39" t="s">
        <v>166</v>
      </c>
      <c r="B1" s="40"/>
      <c r="C1" s="40"/>
      <c r="D1" s="40"/>
      <c r="E1" s="40"/>
      <c r="F1" s="40"/>
      <c r="G1" s="40"/>
      <c r="H1" s="40"/>
      <c r="I1" s="40"/>
    </row>
    <row r="2" spans="1:9" x14ac:dyDescent="0.2"/>
    <row r="3" spans="1:9" x14ac:dyDescent="0.2">
      <c r="A3" s="41" t="s">
        <v>26</v>
      </c>
      <c r="B3" s="40"/>
      <c r="C3" s="40"/>
      <c r="D3" s="40"/>
      <c r="E3" s="40"/>
      <c r="F3" s="40"/>
      <c r="G3" s="40"/>
      <c r="H3" s="40"/>
      <c r="I3" s="40"/>
    </row>
    <row r="4" spans="1:9" ht="30" x14ac:dyDescent="0.2">
      <c r="A4" s="4" t="s">
        <v>27</v>
      </c>
      <c r="B4" s="4" t="s">
        <v>28</v>
      </c>
      <c r="C4" s="4" t="s">
        <v>29</v>
      </c>
      <c r="D4" s="4" t="s">
        <v>30</v>
      </c>
      <c r="E4" s="4" t="s">
        <v>31</v>
      </c>
      <c r="F4" s="4" t="s">
        <v>32</v>
      </c>
      <c r="G4" s="4" t="s">
        <v>33</v>
      </c>
      <c r="H4" s="4" t="s">
        <v>34</v>
      </c>
      <c r="I4" s="4" t="s">
        <v>35</v>
      </c>
    </row>
    <row r="5" spans="1:9" x14ac:dyDescent="0.2">
      <c r="A5" s="7">
        <v>1</v>
      </c>
      <c r="B5" s="7" t="s">
        <v>167</v>
      </c>
      <c r="C5" s="7" t="s">
        <v>168</v>
      </c>
      <c r="D5" s="7">
        <v>8</v>
      </c>
      <c r="E5" s="7">
        <v>2800</v>
      </c>
      <c r="F5" s="7"/>
      <c r="G5" s="10"/>
      <c r="H5" s="10"/>
      <c r="I5" s="7"/>
    </row>
    <row r="6" spans="1:9" x14ac:dyDescent="0.2">
      <c r="A6" s="7">
        <v>2</v>
      </c>
      <c r="B6" s="7" t="s">
        <v>169</v>
      </c>
      <c r="C6" s="7" t="s">
        <v>170</v>
      </c>
      <c r="D6" s="7">
        <v>8</v>
      </c>
      <c r="E6" s="7">
        <v>2800</v>
      </c>
      <c r="F6" s="7"/>
      <c r="G6" s="10"/>
      <c r="H6" s="10"/>
      <c r="I6" s="7"/>
    </row>
    <row r="7" spans="1:9" x14ac:dyDescent="0.2">
      <c r="A7" s="7">
        <v>3</v>
      </c>
      <c r="B7" s="7" t="s">
        <v>171</v>
      </c>
      <c r="C7" s="7" t="s">
        <v>172</v>
      </c>
      <c r="D7" s="7">
        <v>8</v>
      </c>
      <c r="E7" s="7">
        <v>2800</v>
      </c>
      <c r="F7" s="7"/>
      <c r="G7" s="10"/>
      <c r="H7" s="10"/>
      <c r="I7" s="7"/>
    </row>
    <row r="8" spans="1:9" x14ac:dyDescent="0.2">
      <c r="A8" s="7">
        <v>4</v>
      </c>
      <c r="B8" s="7" t="s">
        <v>173</v>
      </c>
      <c r="C8" s="7" t="s">
        <v>174</v>
      </c>
      <c r="D8" s="7">
        <v>12</v>
      </c>
      <c r="E8" s="7">
        <v>4200</v>
      </c>
      <c r="F8" s="7"/>
      <c r="G8" s="10"/>
      <c r="H8" s="10"/>
      <c r="I8" s="7"/>
    </row>
    <row r="9" spans="1:9" x14ac:dyDescent="0.2">
      <c r="A9" s="7">
        <v>5</v>
      </c>
      <c r="B9" s="7" t="s">
        <v>175</v>
      </c>
      <c r="C9" s="7" t="s">
        <v>176</v>
      </c>
      <c r="D9" s="7">
        <v>8</v>
      </c>
      <c r="E9" s="7">
        <v>2800</v>
      </c>
      <c r="F9" s="7"/>
      <c r="G9" s="10"/>
      <c r="H9" s="10"/>
      <c r="I9" s="7"/>
    </row>
    <row r="10" spans="1:9" x14ac:dyDescent="0.2">
      <c r="A10" s="7">
        <v>6</v>
      </c>
      <c r="B10" s="7" t="s">
        <v>177</v>
      </c>
      <c r="C10" s="7" t="s">
        <v>178</v>
      </c>
      <c r="D10" s="7">
        <v>8</v>
      </c>
      <c r="E10" s="7">
        <v>2800</v>
      </c>
      <c r="F10" s="7"/>
      <c r="G10" s="10"/>
      <c r="H10" s="10"/>
      <c r="I10" s="7"/>
    </row>
    <row r="11" spans="1:9" x14ac:dyDescent="0.2">
      <c r="A11" s="7">
        <v>7</v>
      </c>
      <c r="B11" s="7" t="s">
        <v>179</v>
      </c>
      <c r="C11" s="7" t="s">
        <v>180</v>
      </c>
      <c r="D11" s="7">
        <v>16</v>
      </c>
      <c r="E11" s="7">
        <v>5600</v>
      </c>
      <c r="F11" s="7"/>
      <c r="G11" s="10"/>
      <c r="H11" s="10"/>
      <c r="I11" s="7"/>
    </row>
    <row r="12" spans="1:9" x14ac:dyDescent="0.2">
      <c r="A12" s="7">
        <v>8</v>
      </c>
      <c r="B12" s="7" t="s">
        <v>181</v>
      </c>
      <c r="C12" s="7" t="s">
        <v>182</v>
      </c>
      <c r="D12" s="7">
        <v>8</v>
      </c>
      <c r="E12" s="7">
        <v>2811</v>
      </c>
      <c r="F12" s="7"/>
      <c r="G12" s="10"/>
      <c r="H12" s="10"/>
      <c r="I12" s="7"/>
    </row>
    <row r="13" spans="1:9" x14ac:dyDescent="0.2"/>
    <row r="14" spans="1:9" x14ac:dyDescent="0.2">
      <c r="A14" s="41" t="s">
        <v>50</v>
      </c>
      <c r="B14" s="40"/>
      <c r="C14" s="40"/>
      <c r="D14" s="40"/>
      <c r="E14" s="40"/>
      <c r="F14" s="40"/>
      <c r="G14" s="40"/>
      <c r="H14" s="40"/>
      <c r="I14" s="40"/>
    </row>
    <row r="15" spans="1:9" ht="30" x14ac:dyDescent="0.2">
      <c r="A15" s="4" t="s">
        <v>51</v>
      </c>
      <c r="B15" s="38" t="s">
        <v>28</v>
      </c>
      <c r="C15" s="36"/>
      <c r="D15" s="4" t="s">
        <v>52</v>
      </c>
      <c r="E15" s="4" t="s">
        <v>33</v>
      </c>
      <c r="F15" s="4" t="s">
        <v>34</v>
      </c>
      <c r="G15" s="4" t="s">
        <v>35</v>
      </c>
    </row>
    <row r="16" spans="1:9" x14ac:dyDescent="0.2">
      <c r="A16" s="28" t="s">
        <v>53</v>
      </c>
      <c r="B16" s="42" t="s">
        <v>167</v>
      </c>
      <c r="C16" s="36"/>
      <c r="D16" s="7"/>
      <c r="E16" s="10"/>
      <c r="F16" s="10"/>
      <c r="G16" s="7"/>
    </row>
    <row r="17" spans="1:7" x14ac:dyDescent="0.2">
      <c r="A17" s="28" t="s">
        <v>54</v>
      </c>
      <c r="B17" s="42" t="s">
        <v>167</v>
      </c>
      <c r="C17" s="36"/>
      <c r="D17" s="7"/>
      <c r="E17" s="10"/>
      <c r="F17" s="10"/>
      <c r="G17" s="7"/>
    </row>
    <row r="18" spans="1:7" x14ac:dyDescent="0.2">
      <c r="A18" s="28" t="s">
        <v>55</v>
      </c>
      <c r="B18" s="42" t="s">
        <v>167</v>
      </c>
      <c r="C18" s="36"/>
      <c r="D18" s="7"/>
      <c r="E18" s="10"/>
      <c r="F18" s="10"/>
      <c r="G18" s="7"/>
    </row>
    <row r="19" spans="1:7" x14ac:dyDescent="0.2">
      <c r="A19" s="28" t="s">
        <v>56</v>
      </c>
      <c r="B19" s="42" t="s">
        <v>167</v>
      </c>
      <c r="C19" s="36"/>
      <c r="D19" s="7"/>
      <c r="E19" s="10"/>
      <c r="F19" s="10"/>
      <c r="G19" s="7"/>
    </row>
    <row r="20" spans="1:7" x14ac:dyDescent="0.2">
      <c r="A20" s="28" t="s">
        <v>60</v>
      </c>
      <c r="B20" s="42" t="s">
        <v>167</v>
      </c>
      <c r="C20" s="36"/>
      <c r="D20" s="7"/>
      <c r="E20" s="10"/>
      <c r="F20" s="10"/>
      <c r="G20" s="7"/>
    </row>
    <row r="21" spans="1:7" ht="15.75" customHeight="1" x14ac:dyDescent="0.2">
      <c r="A21" s="28" t="s">
        <v>61</v>
      </c>
      <c r="B21" s="42" t="s">
        <v>167</v>
      </c>
      <c r="C21" s="36"/>
      <c r="D21" s="7"/>
      <c r="E21" s="10"/>
      <c r="F21" s="10"/>
      <c r="G21" s="7"/>
    </row>
    <row r="22" spans="1:7" ht="15.75" customHeight="1" x14ac:dyDescent="0.2">
      <c r="A22" s="28" t="s">
        <v>62</v>
      </c>
      <c r="B22" s="42" t="s">
        <v>167</v>
      </c>
      <c r="C22" s="36"/>
      <c r="D22" s="7"/>
      <c r="E22" s="10"/>
      <c r="F22" s="10"/>
      <c r="G22" s="7"/>
    </row>
    <row r="23" spans="1:7" ht="15.75" customHeight="1" x14ac:dyDescent="0.2">
      <c r="A23" s="28" t="s">
        <v>63</v>
      </c>
      <c r="B23" s="42" t="s">
        <v>167</v>
      </c>
      <c r="C23" s="36"/>
      <c r="D23" s="7"/>
      <c r="E23" s="10"/>
      <c r="F23" s="10"/>
      <c r="G23" s="7"/>
    </row>
    <row r="24" spans="1:7" ht="15.75" customHeight="1" x14ac:dyDescent="0.2">
      <c r="A24" s="28" t="s">
        <v>57</v>
      </c>
      <c r="B24" s="42" t="s">
        <v>169</v>
      </c>
      <c r="C24" s="36"/>
      <c r="D24" s="7"/>
      <c r="E24" s="10"/>
      <c r="F24" s="10"/>
      <c r="G24" s="7"/>
    </row>
    <row r="25" spans="1:7" ht="15.75" customHeight="1" x14ac:dyDescent="0.2">
      <c r="A25" s="28" t="s">
        <v>58</v>
      </c>
      <c r="B25" s="42" t="s">
        <v>169</v>
      </c>
      <c r="C25" s="36"/>
      <c r="D25" s="7"/>
      <c r="E25" s="10"/>
      <c r="F25" s="10"/>
      <c r="G25" s="7"/>
    </row>
    <row r="26" spans="1:7" ht="15.75" customHeight="1" x14ac:dyDescent="0.2">
      <c r="A26" s="28" t="s">
        <v>59</v>
      </c>
      <c r="B26" s="42" t="s">
        <v>169</v>
      </c>
      <c r="C26" s="36"/>
      <c r="D26" s="7"/>
      <c r="E26" s="10"/>
      <c r="F26" s="10"/>
      <c r="G26" s="7"/>
    </row>
    <row r="27" spans="1:7" ht="15.75" customHeight="1" x14ac:dyDescent="0.2">
      <c r="A27" s="28" t="s">
        <v>65</v>
      </c>
      <c r="B27" s="42" t="s">
        <v>169</v>
      </c>
      <c r="C27" s="36"/>
      <c r="D27" s="7"/>
      <c r="E27" s="10"/>
      <c r="F27" s="10"/>
      <c r="G27" s="7"/>
    </row>
    <row r="28" spans="1:7" ht="15.75" customHeight="1" x14ac:dyDescent="0.2">
      <c r="A28" s="28" t="s">
        <v>64</v>
      </c>
      <c r="B28" s="42" t="s">
        <v>169</v>
      </c>
      <c r="C28" s="36"/>
      <c r="D28" s="7"/>
      <c r="E28" s="10"/>
      <c r="F28" s="10"/>
      <c r="G28" s="7"/>
    </row>
    <row r="29" spans="1:7" ht="15.75" customHeight="1" x14ac:dyDescent="0.2">
      <c r="A29" s="28" t="s">
        <v>71</v>
      </c>
      <c r="B29" s="42" t="s">
        <v>169</v>
      </c>
      <c r="C29" s="36"/>
      <c r="D29" s="7"/>
      <c r="E29" s="10"/>
      <c r="F29" s="10"/>
      <c r="G29" s="7"/>
    </row>
    <row r="30" spans="1:7" ht="15.75" customHeight="1" x14ac:dyDescent="0.2">
      <c r="A30" s="28" t="s">
        <v>72</v>
      </c>
      <c r="B30" s="42" t="s">
        <v>169</v>
      </c>
      <c r="C30" s="36"/>
      <c r="D30" s="7"/>
      <c r="E30" s="10"/>
      <c r="F30" s="10"/>
      <c r="G30" s="7"/>
    </row>
    <row r="31" spans="1:7" ht="15.75" customHeight="1" x14ac:dyDescent="0.2">
      <c r="A31" s="28" t="s">
        <v>73</v>
      </c>
      <c r="B31" s="42" t="s">
        <v>169</v>
      </c>
      <c r="C31" s="36"/>
      <c r="D31" s="7"/>
      <c r="E31" s="10"/>
      <c r="F31" s="10"/>
      <c r="G31" s="7"/>
    </row>
    <row r="32" spans="1:7" ht="15.75" customHeight="1" x14ac:dyDescent="0.2">
      <c r="A32" s="28" t="s">
        <v>66</v>
      </c>
      <c r="B32" s="42" t="s">
        <v>171</v>
      </c>
      <c r="C32" s="36"/>
      <c r="D32" s="7"/>
      <c r="E32" s="10"/>
      <c r="F32" s="10"/>
      <c r="G32" s="7"/>
    </row>
    <row r="33" spans="1:7" ht="15.75" customHeight="1" x14ac:dyDescent="0.2">
      <c r="A33" s="28" t="s">
        <v>67</v>
      </c>
      <c r="B33" s="42" t="s">
        <v>171</v>
      </c>
      <c r="C33" s="36"/>
      <c r="D33" s="7"/>
      <c r="E33" s="10"/>
      <c r="F33" s="10"/>
      <c r="G33" s="7"/>
    </row>
    <row r="34" spans="1:7" ht="15.75" customHeight="1" x14ac:dyDescent="0.2">
      <c r="A34" s="28" t="s">
        <v>68</v>
      </c>
      <c r="B34" s="42" t="s">
        <v>171</v>
      </c>
      <c r="C34" s="36"/>
      <c r="D34" s="7"/>
      <c r="E34" s="10"/>
      <c r="F34" s="10"/>
      <c r="G34" s="7"/>
    </row>
    <row r="35" spans="1:7" ht="15.75" customHeight="1" x14ac:dyDescent="0.2">
      <c r="A35" s="28" t="s">
        <v>69</v>
      </c>
      <c r="B35" s="42" t="s">
        <v>171</v>
      </c>
      <c r="C35" s="36"/>
      <c r="D35" s="7"/>
      <c r="E35" s="10"/>
      <c r="F35" s="10"/>
      <c r="G35" s="7"/>
    </row>
    <row r="36" spans="1:7" ht="15.75" customHeight="1" x14ac:dyDescent="0.2">
      <c r="A36" s="28" t="s">
        <v>74</v>
      </c>
      <c r="B36" s="42" t="s">
        <v>171</v>
      </c>
      <c r="C36" s="36"/>
      <c r="D36" s="7"/>
      <c r="E36" s="10"/>
      <c r="F36" s="10"/>
      <c r="G36" s="7"/>
    </row>
    <row r="37" spans="1:7" ht="15.75" customHeight="1" x14ac:dyDescent="0.2">
      <c r="A37" s="28" t="s">
        <v>75</v>
      </c>
      <c r="B37" s="42" t="s">
        <v>171</v>
      </c>
      <c r="C37" s="36"/>
      <c r="D37" s="7"/>
      <c r="E37" s="10"/>
      <c r="F37" s="10"/>
      <c r="G37" s="7"/>
    </row>
    <row r="38" spans="1:7" ht="15.75" customHeight="1" x14ac:dyDescent="0.2">
      <c r="A38" s="28" t="s">
        <v>76</v>
      </c>
      <c r="B38" s="42" t="s">
        <v>171</v>
      </c>
      <c r="C38" s="36"/>
      <c r="D38" s="7"/>
      <c r="E38" s="10"/>
      <c r="F38" s="10"/>
      <c r="G38" s="7"/>
    </row>
    <row r="39" spans="1:7" ht="15.75" customHeight="1" x14ac:dyDescent="0.2">
      <c r="A39" s="28" t="s">
        <v>84</v>
      </c>
      <c r="B39" s="42" t="s">
        <v>171</v>
      </c>
      <c r="C39" s="36"/>
      <c r="D39" s="7"/>
      <c r="E39" s="10"/>
      <c r="F39" s="10"/>
      <c r="G39" s="7"/>
    </row>
    <row r="40" spans="1:7" ht="15.75" customHeight="1" x14ac:dyDescent="0.2">
      <c r="A40" s="28" t="s">
        <v>70</v>
      </c>
      <c r="B40" s="42" t="s">
        <v>173</v>
      </c>
      <c r="C40" s="36"/>
      <c r="D40" s="7"/>
      <c r="E40" s="10"/>
      <c r="F40" s="10"/>
      <c r="G40" s="7"/>
    </row>
    <row r="41" spans="1:7" ht="15.75" customHeight="1" x14ac:dyDescent="0.2">
      <c r="A41" s="28" t="s">
        <v>77</v>
      </c>
      <c r="B41" s="42" t="s">
        <v>173</v>
      </c>
      <c r="C41" s="36"/>
      <c r="D41" s="7"/>
      <c r="E41" s="10"/>
      <c r="F41" s="10"/>
      <c r="G41" s="7"/>
    </row>
    <row r="42" spans="1:7" ht="15.75" customHeight="1" x14ac:dyDescent="0.2">
      <c r="A42" s="28" t="s">
        <v>78</v>
      </c>
      <c r="B42" s="42" t="s">
        <v>173</v>
      </c>
      <c r="C42" s="36"/>
      <c r="D42" s="7"/>
      <c r="E42" s="10"/>
      <c r="F42" s="10"/>
      <c r="G42" s="7"/>
    </row>
    <row r="43" spans="1:7" ht="15.75" customHeight="1" x14ac:dyDescent="0.2">
      <c r="A43" s="28" t="s">
        <v>79</v>
      </c>
      <c r="B43" s="42" t="s">
        <v>173</v>
      </c>
      <c r="C43" s="36"/>
      <c r="D43" s="7"/>
      <c r="E43" s="10"/>
      <c r="F43" s="10"/>
      <c r="G43" s="7"/>
    </row>
    <row r="44" spans="1:7" ht="15.75" customHeight="1" x14ac:dyDescent="0.2">
      <c r="A44" s="28" t="s">
        <v>80</v>
      </c>
      <c r="B44" s="42" t="s">
        <v>173</v>
      </c>
      <c r="C44" s="36"/>
      <c r="D44" s="7"/>
      <c r="E44" s="10"/>
      <c r="F44" s="10"/>
      <c r="G44" s="7"/>
    </row>
    <row r="45" spans="1:7" ht="15.75" customHeight="1" x14ac:dyDescent="0.2">
      <c r="A45" s="28" t="s">
        <v>81</v>
      </c>
      <c r="B45" s="42" t="s">
        <v>173</v>
      </c>
      <c r="C45" s="36"/>
      <c r="D45" s="7"/>
      <c r="E45" s="10"/>
      <c r="F45" s="10"/>
      <c r="G45" s="7"/>
    </row>
    <row r="46" spans="1:7" ht="15.75" customHeight="1" x14ac:dyDescent="0.2">
      <c r="A46" s="28" t="s">
        <v>85</v>
      </c>
      <c r="B46" s="42" t="s">
        <v>173</v>
      </c>
      <c r="C46" s="36"/>
      <c r="D46" s="7"/>
      <c r="E46" s="10"/>
      <c r="F46" s="10"/>
      <c r="G46" s="7"/>
    </row>
    <row r="47" spans="1:7" ht="15.75" customHeight="1" x14ac:dyDescent="0.2">
      <c r="A47" s="28" t="s">
        <v>86</v>
      </c>
      <c r="B47" s="42" t="s">
        <v>173</v>
      </c>
      <c r="C47" s="36"/>
      <c r="D47" s="7"/>
      <c r="E47" s="10"/>
      <c r="F47" s="10"/>
      <c r="G47" s="7"/>
    </row>
    <row r="48" spans="1:7" ht="15.75" customHeight="1" x14ac:dyDescent="0.2">
      <c r="A48" s="28" t="s">
        <v>87</v>
      </c>
      <c r="B48" s="42" t="s">
        <v>173</v>
      </c>
      <c r="C48" s="36"/>
      <c r="D48" s="7"/>
      <c r="E48" s="10"/>
      <c r="F48" s="10"/>
      <c r="G48" s="7"/>
    </row>
    <row r="49" spans="1:7" ht="15.75" customHeight="1" x14ac:dyDescent="0.2">
      <c r="A49" s="28" t="s">
        <v>88</v>
      </c>
      <c r="B49" s="42" t="s">
        <v>173</v>
      </c>
      <c r="C49" s="36"/>
      <c r="D49" s="7"/>
      <c r="E49" s="10"/>
      <c r="F49" s="10"/>
      <c r="G49" s="7"/>
    </row>
    <row r="50" spans="1:7" ht="15.75" customHeight="1" x14ac:dyDescent="0.2">
      <c r="A50" s="28" t="s">
        <v>89</v>
      </c>
      <c r="B50" s="42" t="s">
        <v>173</v>
      </c>
      <c r="C50" s="36"/>
      <c r="D50" s="7"/>
      <c r="E50" s="10"/>
      <c r="F50" s="10"/>
      <c r="G50" s="7"/>
    </row>
    <row r="51" spans="1:7" ht="15.75" customHeight="1" x14ac:dyDescent="0.2">
      <c r="A51" s="28" t="s">
        <v>96</v>
      </c>
      <c r="B51" s="42" t="s">
        <v>173</v>
      </c>
      <c r="C51" s="36"/>
      <c r="D51" s="7"/>
      <c r="E51" s="10"/>
      <c r="F51" s="10"/>
      <c r="G51" s="7"/>
    </row>
    <row r="52" spans="1:7" ht="15.75" customHeight="1" x14ac:dyDescent="0.2">
      <c r="A52" s="28" t="s">
        <v>82</v>
      </c>
      <c r="B52" s="42" t="s">
        <v>175</v>
      </c>
      <c r="C52" s="36"/>
      <c r="D52" s="7"/>
      <c r="E52" s="10"/>
      <c r="F52" s="10"/>
      <c r="G52" s="7"/>
    </row>
    <row r="53" spans="1:7" ht="15.75" customHeight="1" x14ac:dyDescent="0.2">
      <c r="A53" s="28" t="s">
        <v>83</v>
      </c>
      <c r="B53" s="42" t="s">
        <v>175</v>
      </c>
      <c r="C53" s="36"/>
      <c r="D53" s="7"/>
      <c r="E53" s="10"/>
      <c r="F53" s="10"/>
      <c r="G53" s="7"/>
    </row>
    <row r="54" spans="1:7" ht="15.75" customHeight="1" x14ac:dyDescent="0.2">
      <c r="A54" s="28" t="s">
        <v>90</v>
      </c>
      <c r="B54" s="42" t="s">
        <v>175</v>
      </c>
      <c r="C54" s="36"/>
      <c r="D54" s="7"/>
      <c r="E54" s="10"/>
      <c r="F54" s="10"/>
      <c r="G54" s="7"/>
    </row>
    <row r="55" spans="1:7" ht="15.75" customHeight="1" x14ac:dyDescent="0.2">
      <c r="A55" s="28" t="s">
        <v>91</v>
      </c>
      <c r="B55" s="42" t="s">
        <v>175</v>
      </c>
      <c r="C55" s="36"/>
      <c r="D55" s="7"/>
      <c r="E55" s="10"/>
      <c r="F55" s="10"/>
      <c r="G55" s="7"/>
    </row>
    <row r="56" spans="1:7" ht="15.75" customHeight="1" x14ac:dyDescent="0.2">
      <c r="A56" s="28" t="s">
        <v>97</v>
      </c>
      <c r="B56" s="42" t="s">
        <v>175</v>
      </c>
      <c r="C56" s="36"/>
      <c r="D56" s="7"/>
      <c r="E56" s="10"/>
      <c r="F56" s="10"/>
      <c r="G56" s="7"/>
    </row>
    <row r="57" spans="1:7" ht="15.75" customHeight="1" x14ac:dyDescent="0.2">
      <c r="A57" s="28" t="s">
        <v>98</v>
      </c>
      <c r="B57" s="42" t="s">
        <v>175</v>
      </c>
      <c r="C57" s="36"/>
      <c r="D57" s="7"/>
      <c r="E57" s="10"/>
      <c r="F57" s="10"/>
      <c r="G57" s="7"/>
    </row>
    <row r="58" spans="1:7" ht="15.75" customHeight="1" x14ac:dyDescent="0.2">
      <c r="A58" s="28" t="s">
        <v>99</v>
      </c>
      <c r="B58" s="42" t="s">
        <v>175</v>
      </c>
      <c r="C58" s="36"/>
      <c r="D58" s="7"/>
      <c r="E58" s="10"/>
      <c r="F58" s="10"/>
      <c r="G58" s="7"/>
    </row>
    <row r="59" spans="1:7" ht="15.75" customHeight="1" x14ac:dyDescent="0.2">
      <c r="A59" s="28" t="s">
        <v>100</v>
      </c>
      <c r="B59" s="42" t="s">
        <v>175</v>
      </c>
      <c r="C59" s="36"/>
      <c r="D59" s="7"/>
      <c r="E59" s="10"/>
      <c r="F59" s="10"/>
      <c r="G59" s="7"/>
    </row>
    <row r="60" spans="1:7" ht="15.75" customHeight="1" x14ac:dyDescent="0.2">
      <c r="A60" s="28" t="s">
        <v>92</v>
      </c>
      <c r="B60" s="42" t="s">
        <v>177</v>
      </c>
      <c r="C60" s="36"/>
      <c r="D60" s="7"/>
      <c r="E60" s="10"/>
      <c r="F60" s="10"/>
      <c r="G60" s="7"/>
    </row>
    <row r="61" spans="1:7" ht="15.75" customHeight="1" x14ac:dyDescent="0.2">
      <c r="A61" s="28" t="s">
        <v>93</v>
      </c>
      <c r="B61" s="42" t="s">
        <v>177</v>
      </c>
      <c r="C61" s="36"/>
      <c r="D61" s="7"/>
      <c r="E61" s="10"/>
      <c r="F61" s="10"/>
      <c r="G61" s="7"/>
    </row>
    <row r="62" spans="1:7" ht="15.75" customHeight="1" x14ac:dyDescent="0.2">
      <c r="A62" s="28" t="s">
        <v>94</v>
      </c>
      <c r="B62" s="42" t="s">
        <v>177</v>
      </c>
      <c r="C62" s="36"/>
      <c r="D62" s="7"/>
      <c r="E62" s="10"/>
      <c r="F62" s="10"/>
      <c r="G62" s="7"/>
    </row>
    <row r="63" spans="1:7" ht="15.75" customHeight="1" x14ac:dyDescent="0.2">
      <c r="A63" s="28" t="s">
        <v>95</v>
      </c>
      <c r="B63" s="42" t="s">
        <v>177</v>
      </c>
      <c r="C63" s="36"/>
      <c r="D63" s="7"/>
      <c r="E63" s="10"/>
      <c r="F63" s="10"/>
      <c r="G63" s="7"/>
    </row>
    <row r="64" spans="1:7" ht="15.75" customHeight="1" x14ac:dyDescent="0.2">
      <c r="A64" s="28" t="s">
        <v>101</v>
      </c>
      <c r="B64" s="42" t="s">
        <v>177</v>
      </c>
      <c r="C64" s="36"/>
      <c r="D64" s="7"/>
      <c r="E64" s="10"/>
      <c r="F64" s="10"/>
      <c r="G64" s="7"/>
    </row>
    <row r="65" spans="1:7" ht="15.75" customHeight="1" x14ac:dyDescent="0.2">
      <c r="A65" s="28" t="s">
        <v>106</v>
      </c>
      <c r="B65" s="42" t="s">
        <v>177</v>
      </c>
      <c r="C65" s="36"/>
      <c r="D65" s="7"/>
      <c r="E65" s="10"/>
      <c r="F65" s="10"/>
      <c r="G65" s="7"/>
    </row>
    <row r="66" spans="1:7" ht="15.75" customHeight="1" x14ac:dyDescent="0.2">
      <c r="A66" s="28" t="s">
        <v>107</v>
      </c>
      <c r="B66" s="42" t="s">
        <v>177</v>
      </c>
      <c r="C66" s="36"/>
      <c r="D66" s="7"/>
      <c r="E66" s="10"/>
      <c r="F66" s="10"/>
      <c r="G66" s="7"/>
    </row>
    <row r="67" spans="1:7" ht="15.75" customHeight="1" x14ac:dyDescent="0.2">
      <c r="A67" s="28" t="s">
        <v>108</v>
      </c>
      <c r="B67" s="42" t="s">
        <v>177</v>
      </c>
      <c r="C67" s="36"/>
      <c r="D67" s="7"/>
      <c r="E67" s="10"/>
      <c r="F67" s="10"/>
      <c r="G67" s="7"/>
    </row>
    <row r="68" spans="1:7" ht="15.75" customHeight="1" x14ac:dyDescent="0.2">
      <c r="A68" s="28" t="s">
        <v>102</v>
      </c>
      <c r="B68" s="42" t="s">
        <v>179</v>
      </c>
      <c r="C68" s="36"/>
      <c r="D68" s="7"/>
      <c r="E68" s="10"/>
      <c r="F68" s="10"/>
      <c r="G68" s="7"/>
    </row>
    <row r="69" spans="1:7" ht="15.75" customHeight="1" x14ac:dyDescent="0.2">
      <c r="A69" s="28" t="s">
        <v>103</v>
      </c>
      <c r="B69" s="42" t="s">
        <v>179</v>
      </c>
      <c r="C69" s="36"/>
      <c r="D69" s="7"/>
      <c r="E69" s="10"/>
      <c r="F69" s="10"/>
      <c r="G69" s="7"/>
    </row>
    <row r="70" spans="1:7" ht="15.75" customHeight="1" x14ac:dyDescent="0.2">
      <c r="A70" s="28" t="s">
        <v>104</v>
      </c>
      <c r="B70" s="42" t="s">
        <v>179</v>
      </c>
      <c r="C70" s="36"/>
      <c r="D70" s="7"/>
      <c r="E70" s="10"/>
      <c r="F70" s="10"/>
      <c r="G70" s="7"/>
    </row>
    <row r="71" spans="1:7" ht="15.75" customHeight="1" x14ac:dyDescent="0.2">
      <c r="A71" s="28" t="s">
        <v>105</v>
      </c>
      <c r="B71" s="42" t="s">
        <v>179</v>
      </c>
      <c r="C71" s="36"/>
      <c r="D71" s="7"/>
      <c r="E71" s="10"/>
      <c r="F71" s="10"/>
      <c r="G71" s="7"/>
    </row>
    <row r="72" spans="1:7" ht="15.75" customHeight="1" x14ac:dyDescent="0.2">
      <c r="A72" s="28" t="s">
        <v>110</v>
      </c>
      <c r="B72" s="42" t="s">
        <v>179</v>
      </c>
      <c r="C72" s="36"/>
      <c r="D72" s="7"/>
      <c r="E72" s="10"/>
      <c r="F72" s="10"/>
      <c r="G72" s="7"/>
    </row>
    <row r="73" spans="1:7" ht="15.75" customHeight="1" x14ac:dyDescent="0.2">
      <c r="A73" s="28" t="s">
        <v>111</v>
      </c>
      <c r="B73" s="42" t="s">
        <v>179</v>
      </c>
      <c r="C73" s="36"/>
      <c r="D73" s="7"/>
      <c r="E73" s="10"/>
      <c r="F73" s="10"/>
      <c r="G73" s="7"/>
    </row>
    <row r="74" spans="1:7" ht="15.75" customHeight="1" x14ac:dyDescent="0.2">
      <c r="A74" s="28" t="s">
        <v>112</v>
      </c>
      <c r="B74" s="42" t="s">
        <v>179</v>
      </c>
      <c r="C74" s="36"/>
      <c r="D74" s="7"/>
      <c r="E74" s="10"/>
      <c r="F74" s="10"/>
      <c r="G74" s="7"/>
    </row>
    <row r="75" spans="1:7" ht="15.75" customHeight="1" x14ac:dyDescent="0.2">
      <c r="A75" s="28" t="s">
        <v>113</v>
      </c>
      <c r="B75" s="42" t="s">
        <v>179</v>
      </c>
      <c r="C75" s="36"/>
      <c r="D75" s="7"/>
      <c r="E75" s="10"/>
      <c r="F75" s="10"/>
      <c r="G75" s="7"/>
    </row>
    <row r="76" spans="1:7" ht="15.75" customHeight="1" x14ac:dyDescent="0.2">
      <c r="A76" s="28" t="s">
        <v>109</v>
      </c>
      <c r="B76" s="42" t="s">
        <v>179</v>
      </c>
      <c r="C76" s="36"/>
      <c r="D76" s="7"/>
      <c r="E76" s="10"/>
      <c r="F76" s="10"/>
      <c r="G76" s="7"/>
    </row>
    <row r="77" spans="1:7" ht="15.75" customHeight="1" x14ac:dyDescent="0.2">
      <c r="A77" s="28" t="s">
        <v>115</v>
      </c>
      <c r="B77" s="42" t="s">
        <v>179</v>
      </c>
      <c r="C77" s="36"/>
      <c r="D77" s="7"/>
      <c r="E77" s="10"/>
      <c r="F77" s="10"/>
      <c r="G77" s="7"/>
    </row>
    <row r="78" spans="1:7" ht="15.75" customHeight="1" x14ac:dyDescent="0.2">
      <c r="A78" s="28" t="s">
        <v>116</v>
      </c>
      <c r="B78" s="42" t="s">
        <v>179</v>
      </c>
      <c r="C78" s="36"/>
      <c r="D78" s="7"/>
      <c r="E78" s="10"/>
      <c r="F78" s="10"/>
      <c r="G78" s="7"/>
    </row>
    <row r="79" spans="1:7" ht="15.75" customHeight="1" x14ac:dyDescent="0.2">
      <c r="A79" s="28" t="s">
        <v>117</v>
      </c>
      <c r="B79" s="42" t="s">
        <v>179</v>
      </c>
      <c r="C79" s="36"/>
      <c r="D79" s="7"/>
      <c r="E79" s="10"/>
      <c r="F79" s="10"/>
      <c r="G79" s="7"/>
    </row>
    <row r="80" spans="1:7" ht="15.75" customHeight="1" x14ac:dyDescent="0.2">
      <c r="A80" s="28" t="s">
        <v>118</v>
      </c>
      <c r="B80" s="42" t="s">
        <v>179</v>
      </c>
      <c r="C80" s="36"/>
      <c r="D80" s="7"/>
      <c r="E80" s="10"/>
      <c r="F80" s="10"/>
      <c r="G80" s="7"/>
    </row>
    <row r="81" spans="1:7" ht="15.75" customHeight="1" x14ac:dyDescent="0.2">
      <c r="A81" s="28" t="s">
        <v>119</v>
      </c>
      <c r="B81" s="42" t="s">
        <v>179</v>
      </c>
      <c r="C81" s="36"/>
      <c r="D81" s="7"/>
      <c r="E81" s="10"/>
      <c r="F81" s="10"/>
      <c r="G81" s="7"/>
    </row>
    <row r="82" spans="1:7" ht="15.75" customHeight="1" x14ac:dyDescent="0.2">
      <c r="A82" s="28" t="s">
        <v>132</v>
      </c>
      <c r="B82" s="42" t="s">
        <v>179</v>
      </c>
      <c r="C82" s="36"/>
      <c r="D82" s="7"/>
      <c r="E82" s="10"/>
      <c r="F82" s="10"/>
      <c r="G82" s="7"/>
    </row>
    <row r="83" spans="1:7" ht="15.75" customHeight="1" x14ac:dyDescent="0.2">
      <c r="A83" s="28" t="s">
        <v>133</v>
      </c>
      <c r="B83" s="42" t="s">
        <v>179</v>
      </c>
      <c r="C83" s="36"/>
      <c r="D83" s="7"/>
      <c r="E83" s="10"/>
      <c r="F83" s="10"/>
      <c r="G83" s="7"/>
    </row>
    <row r="84" spans="1:7" ht="15.75" customHeight="1" x14ac:dyDescent="0.2">
      <c r="A84" s="28" t="s">
        <v>114</v>
      </c>
      <c r="B84" s="42" t="s">
        <v>181</v>
      </c>
      <c r="C84" s="36"/>
      <c r="D84" s="7"/>
      <c r="E84" s="10"/>
      <c r="F84" s="10"/>
      <c r="G84" s="7"/>
    </row>
    <row r="85" spans="1:7" ht="15.75" customHeight="1" x14ac:dyDescent="0.2">
      <c r="A85" s="28" t="s">
        <v>120</v>
      </c>
      <c r="B85" s="42" t="s">
        <v>181</v>
      </c>
      <c r="C85" s="36"/>
      <c r="D85" s="7"/>
      <c r="E85" s="10"/>
      <c r="F85" s="10"/>
      <c r="G85" s="7"/>
    </row>
    <row r="86" spans="1:7" ht="15.75" customHeight="1" x14ac:dyDescent="0.2">
      <c r="A86" s="28" t="s">
        <v>121</v>
      </c>
      <c r="B86" s="42" t="s">
        <v>181</v>
      </c>
      <c r="C86" s="36"/>
      <c r="D86" s="7"/>
      <c r="E86" s="10"/>
      <c r="F86" s="10"/>
      <c r="G86" s="7"/>
    </row>
    <row r="87" spans="1:7" ht="15.75" customHeight="1" x14ac:dyDescent="0.2">
      <c r="A87" s="28" t="s">
        <v>122</v>
      </c>
      <c r="B87" s="42" t="s">
        <v>181</v>
      </c>
      <c r="C87" s="36"/>
      <c r="D87" s="7"/>
      <c r="E87" s="10"/>
      <c r="F87" s="10"/>
      <c r="G87" s="7"/>
    </row>
    <row r="88" spans="1:7" ht="15.75" customHeight="1" x14ac:dyDescent="0.2">
      <c r="A88" s="28" t="s">
        <v>123</v>
      </c>
      <c r="B88" s="42" t="s">
        <v>181</v>
      </c>
      <c r="C88" s="36"/>
      <c r="D88" s="7"/>
      <c r="E88" s="10"/>
      <c r="F88" s="10"/>
      <c r="G88" s="7"/>
    </row>
    <row r="89" spans="1:7" ht="15.75" customHeight="1" x14ac:dyDescent="0.2">
      <c r="A89" s="28" t="s">
        <v>124</v>
      </c>
      <c r="B89" s="42" t="s">
        <v>181</v>
      </c>
      <c r="C89" s="36"/>
      <c r="D89" s="7"/>
      <c r="E89" s="10"/>
      <c r="F89" s="10"/>
      <c r="G89" s="7"/>
    </row>
    <row r="90" spans="1:7" ht="15.75" customHeight="1" x14ac:dyDescent="0.2">
      <c r="A90" s="28" t="s">
        <v>134</v>
      </c>
      <c r="B90" s="42" t="s">
        <v>181</v>
      </c>
      <c r="C90" s="36"/>
      <c r="D90" s="7"/>
      <c r="E90" s="10"/>
      <c r="F90" s="10"/>
      <c r="G90" s="7"/>
    </row>
    <row r="91" spans="1:7" ht="15.75" customHeight="1" x14ac:dyDescent="0.2">
      <c r="A91" s="28" t="s">
        <v>135</v>
      </c>
      <c r="B91" s="42" t="s">
        <v>181</v>
      </c>
      <c r="C91" s="36"/>
      <c r="D91" s="7"/>
      <c r="E91" s="10"/>
      <c r="F91" s="10"/>
      <c r="G91" s="7"/>
    </row>
    <row r="92" spans="1:7" ht="15.75" customHeight="1" x14ac:dyDescent="0.2"/>
    <row r="93" spans="1:7" ht="15.75" customHeight="1" x14ac:dyDescent="0.2"/>
    <row r="94" spans="1:7" ht="15.75" customHeight="1" x14ac:dyDescent="0.2"/>
    <row r="95" spans="1:7" ht="15.75" customHeight="1" x14ac:dyDescent="0.2"/>
    <row r="96" spans="1:7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80">
    <mergeCell ref="B87:C87"/>
    <mergeCell ref="B65:C65"/>
    <mergeCell ref="B74:C74"/>
    <mergeCell ref="B68:C68"/>
    <mergeCell ref="B36:C36"/>
    <mergeCell ref="B50:C50"/>
    <mergeCell ref="B85:C85"/>
    <mergeCell ref="B75:C75"/>
    <mergeCell ref="B47:C47"/>
    <mergeCell ref="B62:C62"/>
    <mergeCell ref="B59:C59"/>
    <mergeCell ref="B70:C70"/>
    <mergeCell ref="B48:C48"/>
    <mergeCell ref="B73:C73"/>
    <mergeCell ref="B19:C19"/>
    <mergeCell ref="B34:C34"/>
    <mergeCell ref="B28:C28"/>
    <mergeCell ref="B83:C83"/>
    <mergeCell ref="B30:C30"/>
    <mergeCell ref="B20:C20"/>
    <mergeCell ref="B76:C76"/>
    <mergeCell ref="B45:C45"/>
    <mergeCell ref="B46:C46"/>
    <mergeCell ref="B39:C39"/>
    <mergeCell ref="B23:C23"/>
    <mergeCell ref="B15:C15"/>
    <mergeCell ref="B80:C80"/>
    <mergeCell ref="B89:C89"/>
    <mergeCell ref="A1:I1"/>
    <mergeCell ref="B79:C79"/>
    <mergeCell ref="B54:C54"/>
    <mergeCell ref="B72:C72"/>
    <mergeCell ref="B81:C81"/>
    <mergeCell ref="A3:I3"/>
    <mergeCell ref="B56:C56"/>
    <mergeCell ref="B71:C71"/>
    <mergeCell ref="B43:C43"/>
    <mergeCell ref="B58:C58"/>
    <mergeCell ref="B52:C52"/>
    <mergeCell ref="A14:I14"/>
    <mergeCell ref="B42:C42"/>
    <mergeCell ref="B16:C16"/>
    <mergeCell ref="B25:C25"/>
    <mergeCell ref="B90:C90"/>
    <mergeCell ref="B66:C66"/>
    <mergeCell ref="B27:C27"/>
    <mergeCell ref="B18:C18"/>
    <mergeCell ref="B53:C53"/>
    <mergeCell ref="B29:C29"/>
    <mergeCell ref="B37:C37"/>
    <mergeCell ref="B84:C84"/>
    <mergeCell ref="B60:C60"/>
    <mergeCell ref="B17:C17"/>
    <mergeCell ref="B57:C57"/>
    <mergeCell ref="B88:C88"/>
    <mergeCell ref="B82:C82"/>
    <mergeCell ref="B44:C44"/>
    <mergeCell ref="B33:C33"/>
    <mergeCell ref="B51:C51"/>
    <mergeCell ref="B32:C32"/>
    <mergeCell ref="B63:C63"/>
    <mergeCell ref="B26:C26"/>
    <mergeCell ref="B41:C41"/>
    <mergeCell ref="B35:C35"/>
    <mergeCell ref="B91:C91"/>
    <mergeCell ref="B22:C22"/>
    <mergeCell ref="B31:C31"/>
    <mergeCell ref="B77:C77"/>
    <mergeCell ref="B21:C21"/>
    <mergeCell ref="B86:C86"/>
    <mergeCell ref="B67:C67"/>
    <mergeCell ref="B61:C61"/>
    <mergeCell ref="B69:C69"/>
    <mergeCell ref="B38:C38"/>
    <mergeCell ref="B78:C78"/>
    <mergeCell ref="B40:C40"/>
    <mergeCell ref="B49:C49"/>
    <mergeCell ref="B55:C55"/>
    <mergeCell ref="B24:C24"/>
    <mergeCell ref="B64:C64"/>
  </mergeCells>
  <conditionalFormatting sqref="E16:E91">
    <cfRule type="expression" dxfId="27" priority="2">
      <formula>AND($E16&lt;&gt;"",COUNTIF($G$5:$G$12,$E16)+COUNTIF($E$16:$E$91,$E16)&gt;1)</formula>
    </cfRule>
  </conditionalFormatting>
  <conditionalFormatting sqref="G5:G12">
    <cfRule type="expression" dxfId="26" priority="1">
      <formula>AND($G5&lt;&gt;"",COUNTIF($G$5:$G$12,$G5)+COUNTIF($E$16:$E$91,$G5)&gt;1)</formula>
    </cfRule>
  </conditionalFormatting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00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4.5" defaultRowHeight="15" customHeight="1" x14ac:dyDescent="0.2"/>
  <cols>
    <col min="1" max="1" width="8" customWidth="1"/>
    <col min="2" max="2" width="42" customWidth="1"/>
    <col min="3" max="3" width="35" customWidth="1"/>
    <col min="4" max="5" width="14" customWidth="1"/>
    <col min="6" max="6" width="26" customWidth="1"/>
    <col min="7" max="7" width="12" customWidth="1"/>
    <col min="8" max="8" width="13" customWidth="1"/>
    <col min="9" max="9" width="22" customWidth="1"/>
    <col min="10" max="26" width="8.6640625" customWidth="1"/>
  </cols>
  <sheetData>
    <row r="1" spans="1:9" ht="17" x14ac:dyDescent="0.2">
      <c r="A1" s="39" t="s">
        <v>183</v>
      </c>
      <c r="B1" s="40"/>
      <c r="C1" s="40"/>
      <c r="D1" s="40"/>
      <c r="E1" s="40"/>
      <c r="F1" s="40"/>
      <c r="G1" s="40"/>
      <c r="H1" s="40"/>
      <c r="I1" s="40"/>
    </row>
    <row r="2" spans="1:9" x14ac:dyDescent="0.2"/>
    <row r="3" spans="1:9" x14ac:dyDescent="0.2">
      <c r="A3" s="41" t="s">
        <v>26</v>
      </c>
      <c r="B3" s="40"/>
      <c r="C3" s="40"/>
      <c r="D3" s="40"/>
      <c r="E3" s="40"/>
      <c r="F3" s="40"/>
      <c r="G3" s="40"/>
      <c r="H3" s="40"/>
      <c r="I3" s="40"/>
    </row>
    <row r="4" spans="1:9" ht="30" x14ac:dyDescent="0.2">
      <c r="A4" s="4" t="s">
        <v>27</v>
      </c>
      <c r="B4" s="4" t="s">
        <v>28</v>
      </c>
      <c r="C4" s="4" t="s">
        <v>29</v>
      </c>
      <c r="D4" s="4" t="s">
        <v>30</v>
      </c>
      <c r="E4" s="4" t="s">
        <v>31</v>
      </c>
      <c r="F4" s="4" t="s">
        <v>32</v>
      </c>
      <c r="G4" s="4" t="s">
        <v>33</v>
      </c>
      <c r="H4" s="4" t="s">
        <v>34</v>
      </c>
      <c r="I4" s="4" t="s">
        <v>35</v>
      </c>
    </row>
    <row r="5" spans="1:9" x14ac:dyDescent="0.2">
      <c r="A5" s="7">
        <v>1</v>
      </c>
      <c r="B5" s="7" t="s">
        <v>184</v>
      </c>
      <c r="C5" s="7" t="s">
        <v>185</v>
      </c>
      <c r="D5" s="7">
        <v>7</v>
      </c>
      <c r="E5" s="7">
        <v>2450</v>
      </c>
      <c r="F5" s="7"/>
      <c r="G5" s="10"/>
      <c r="H5" s="10"/>
      <c r="I5" s="7"/>
    </row>
    <row r="6" spans="1:9" x14ac:dyDescent="0.2">
      <c r="A6" s="7">
        <v>2</v>
      </c>
      <c r="B6" s="7" t="s">
        <v>186</v>
      </c>
      <c r="C6" s="7" t="s">
        <v>187</v>
      </c>
      <c r="D6" s="7">
        <v>10</v>
      </c>
      <c r="E6" s="7">
        <v>3393</v>
      </c>
      <c r="F6" s="7"/>
      <c r="G6" s="10"/>
      <c r="H6" s="10"/>
      <c r="I6" s="7"/>
    </row>
    <row r="7" spans="1:9" x14ac:dyDescent="0.2"/>
    <row r="8" spans="1:9" x14ac:dyDescent="0.2">
      <c r="A8" s="41" t="s">
        <v>50</v>
      </c>
      <c r="B8" s="40"/>
      <c r="C8" s="40"/>
      <c r="D8" s="40"/>
      <c r="E8" s="40"/>
      <c r="F8" s="40"/>
      <c r="G8" s="40"/>
      <c r="H8" s="40"/>
      <c r="I8" s="40"/>
    </row>
    <row r="9" spans="1:9" ht="30" x14ac:dyDescent="0.2">
      <c r="A9" s="4" t="s">
        <v>51</v>
      </c>
      <c r="B9" s="38" t="s">
        <v>28</v>
      </c>
      <c r="C9" s="36"/>
      <c r="D9" s="4" t="s">
        <v>52</v>
      </c>
      <c r="E9" s="4" t="s">
        <v>33</v>
      </c>
      <c r="F9" s="4" t="s">
        <v>34</v>
      </c>
      <c r="G9" s="4" t="s">
        <v>35</v>
      </c>
    </row>
    <row r="10" spans="1:9" x14ac:dyDescent="0.2">
      <c r="A10" s="28" t="s">
        <v>53</v>
      </c>
      <c r="B10" s="42" t="s">
        <v>184</v>
      </c>
      <c r="C10" s="36"/>
      <c r="D10" s="7"/>
      <c r="E10" s="10"/>
      <c r="F10" s="10"/>
      <c r="G10" s="7"/>
    </row>
    <row r="11" spans="1:9" x14ac:dyDescent="0.2">
      <c r="A11" s="28" t="s">
        <v>54</v>
      </c>
      <c r="B11" s="42" t="s">
        <v>184</v>
      </c>
      <c r="C11" s="36"/>
      <c r="D11" s="7"/>
      <c r="E11" s="10"/>
      <c r="F11" s="10"/>
      <c r="G11" s="7"/>
    </row>
    <row r="12" spans="1:9" x14ac:dyDescent="0.2">
      <c r="A12" s="28" t="s">
        <v>55</v>
      </c>
      <c r="B12" s="42" t="s">
        <v>184</v>
      </c>
      <c r="C12" s="36"/>
      <c r="D12" s="7"/>
      <c r="E12" s="10"/>
      <c r="F12" s="10"/>
      <c r="G12" s="7"/>
    </row>
    <row r="13" spans="1:9" x14ac:dyDescent="0.2">
      <c r="A13" s="28" t="s">
        <v>56</v>
      </c>
      <c r="B13" s="42" t="s">
        <v>184</v>
      </c>
      <c r="C13" s="36"/>
      <c r="D13" s="7"/>
      <c r="E13" s="10"/>
      <c r="F13" s="10"/>
      <c r="G13" s="7"/>
    </row>
    <row r="14" spans="1:9" x14ac:dyDescent="0.2">
      <c r="A14" s="28" t="s">
        <v>60</v>
      </c>
      <c r="B14" s="42" t="s">
        <v>184</v>
      </c>
      <c r="C14" s="36"/>
      <c r="D14" s="7"/>
      <c r="E14" s="10"/>
      <c r="F14" s="10"/>
      <c r="G14" s="7"/>
    </row>
    <row r="15" spans="1:9" x14ac:dyDescent="0.2">
      <c r="A15" s="28" t="s">
        <v>61</v>
      </c>
      <c r="B15" s="42" t="s">
        <v>184</v>
      </c>
      <c r="C15" s="36"/>
      <c r="D15" s="7"/>
      <c r="E15" s="10"/>
      <c r="F15" s="10"/>
      <c r="G15" s="7"/>
    </row>
    <row r="16" spans="1:9" x14ac:dyDescent="0.2">
      <c r="A16" s="28" t="s">
        <v>62</v>
      </c>
      <c r="B16" s="42" t="s">
        <v>184</v>
      </c>
      <c r="C16" s="36"/>
      <c r="D16" s="7"/>
      <c r="E16" s="10"/>
      <c r="F16" s="10"/>
      <c r="G16" s="7"/>
    </row>
    <row r="17" spans="1:7" x14ac:dyDescent="0.2">
      <c r="A17" s="28" t="s">
        <v>57</v>
      </c>
      <c r="B17" s="42" t="s">
        <v>186</v>
      </c>
      <c r="C17" s="36"/>
      <c r="D17" s="7"/>
      <c r="E17" s="10"/>
      <c r="F17" s="10"/>
      <c r="G17" s="7"/>
    </row>
    <row r="18" spans="1:7" x14ac:dyDescent="0.2">
      <c r="A18" s="28" t="s">
        <v>58</v>
      </c>
      <c r="B18" s="42" t="s">
        <v>186</v>
      </c>
      <c r="C18" s="36"/>
      <c r="D18" s="7"/>
      <c r="E18" s="10"/>
      <c r="F18" s="10"/>
      <c r="G18" s="7"/>
    </row>
    <row r="19" spans="1:7" x14ac:dyDescent="0.2">
      <c r="A19" s="28" t="s">
        <v>59</v>
      </c>
      <c r="B19" s="42" t="s">
        <v>186</v>
      </c>
      <c r="C19" s="36"/>
      <c r="D19" s="7"/>
      <c r="E19" s="10"/>
      <c r="F19" s="10"/>
      <c r="G19" s="7"/>
    </row>
    <row r="20" spans="1:7" x14ac:dyDescent="0.2">
      <c r="A20" s="28" t="s">
        <v>65</v>
      </c>
      <c r="B20" s="42" t="s">
        <v>186</v>
      </c>
      <c r="C20" s="36"/>
      <c r="D20" s="7"/>
      <c r="E20" s="10"/>
      <c r="F20" s="10"/>
      <c r="G20" s="7"/>
    </row>
    <row r="21" spans="1:7" ht="15.75" customHeight="1" x14ac:dyDescent="0.2">
      <c r="A21" s="28" t="s">
        <v>66</v>
      </c>
      <c r="B21" s="42" t="s">
        <v>186</v>
      </c>
      <c r="C21" s="36"/>
      <c r="D21" s="7"/>
      <c r="E21" s="10"/>
      <c r="F21" s="10"/>
      <c r="G21" s="7"/>
    </row>
    <row r="22" spans="1:7" ht="15.75" customHeight="1" x14ac:dyDescent="0.2">
      <c r="A22" s="28" t="s">
        <v>63</v>
      </c>
      <c r="B22" s="42" t="s">
        <v>186</v>
      </c>
      <c r="C22" s="36"/>
      <c r="D22" s="7"/>
      <c r="E22" s="10"/>
      <c r="F22" s="10"/>
      <c r="G22" s="7"/>
    </row>
    <row r="23" spans="1:7" ht="15.75" customHeight="1" x14ac:dyDescent="0.2">
      <c r="A23" s="28" t="s">
        <v>64</v>
      </c>
      <c r="B23" s="42" t="s">
        <v>186</v>
      </c>
      <c r="C23" s="36"/>
      <c r="D23" s="7"/>
      <c r="E23" s="10"/>
      <c r="F23" s="10"/>
      <c r="G23" s="7"/>
    </row>
    <row r="24" spans="1:7" ht="15.75" customHeight="1" x14ac:dyDescent="0.2">
      <c r="A24" s="28" t="s">
        <v>71</v>
      </c>
      <c r="B24" s="42" t="s">
        <v>186</v>
      </c>
      <c r="C24" s="36"/>
      <c r="D24" s="7"/>
      <c r="E24" s="10"/>
      <c r="F24" s="10"/>
      <c r="G24" s="7"/>
    </row>
    <row r="25" spans="1:7" ht="15.75" customHeight="1" x14ac:dyDescent="0.2">
      <c r="A25" s="28" t="s">
        <v>72</v>
      </c>
      <c r="B25" s="42" t="s">
        <v>186</v>
      </c>
      <c r="C25" s="36"/>
      <c r="D25" s="7"/>
      <c r="E25" s="10"/>
      <c r="F25" s="10"/>
      <c r="G25" s="7"/>
    </row>
    <row r="26" spans="1:7" ht="15.75" customHeight="1" x14ac:dyDescent="0.2">
      <c r="A26" s="28" t="s">
        <v>73</v>
      </c>
      <c r="B26" s="42" t="s">
        <v>186</v>
      </c>
      <c r="C26" s="36"/>
      <c r="D26" s="7"/>
      <c r="E26" s="10"/>
      <c r="F26" s="10"/>
      <c r="G26" s="7"/>
    </row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1">
    <mergeCell ref="B24:C24"/>
    <mergeCell ref="B15:C15"/>
    <mergeCell ref="B20:C20"/>
    <mergeCell ref="A1:I1"/>
    <mergeCell ref="B26:C26"/>
    <mergeCell ref="B16:C16"/>
    <mergeCell ref="B25:C25"/>
    <mergeCell ref="B22:C22"/>
    <mergeCell ref="A3:I3"/>
    <mergeCell ref="B18:C18"/>
    <mergeCell ref="B12:C12"/>
    <mergeCell ref="B21:C21"/>
    <mergeCell ref="B11:C11"/>
    <mergeCell ref="B23:C23"/>
    <mergeCell ref="B14:C14"/>
    <mergeCell ref="A8:I8"/>
    <mergeCell ref="B17:C17"/>
    <mergeCell ref="B13:C13"/>
    <mergeCell ref="B19:C19"/>
    <mergeCell ref="B10:C10"/>
    <mergeCell ref="B9:C9"/>
  </mergeCells>
  <conditionalFormatting sqref="E10:E26">
    <cfRule type="expression" dxfId="25" priority="2">
      <formula>AND($E10&lt;&gt;"",COUNTIF($G$5:$G$6,$E10)+COUNTIF($E$10:$E$26,$E10)&gt;1)</formula>
    </cfRule>
  </conditionalFormatting>
  <conditionalFormatting sqref="G5:G6">
    <cfRule type="expression" dxfId="24" priority="1">
      <formula>AND($G5&lt;&gt;"",COUNTIF($G$5:$G$6,$G5)+COUNTIF($E$10:$E$26,$G5)&gt;1)</formula>
    </cfRule>
  </conditionalFormatting>
  <pageMargins left="0.75" right="0.75" top="1" bottom="1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00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4.5" defaultRowHeight="15" customHeight="1" x14ac:dyDescent="0.2"/>
  <cols>
    <col min="1" max="1" width="8" customWidth="1"/>
    <col min="2" max="2" width="42" customWidth="1"/>
    <col min="3" max="3" width="35" customWidth="1"/>
    <col min="4" max="5" width="14" customWidth="1"/>
    <col min="6" max="6" width="26" customWidth="1"/>
    <col min="7" max="7" width="12" customWidth="1"/>
    <col min="8" max="8" width="13" customWidth="1"/>
    <col min="9" max="9" width="22" customWidth="1"/>
    <col min="10" max="26" width="8.6640625" customWidth="1"/>
  </cols>
  <sheetData>
    <row r="1" spans="1:9" ht="17" x14ac:dyDescent="0.2">
      <c r="A1" s="39" t="s">
        <v>188</v>
      </c>
      <c r="B1" s="40"/>
      <c r="C1" s="40"/>
      <c r="D1" s="40"/>
      <c r="E1" s="40"/>
      <c r="F1" s="40"/>
      <c r="G1" s="40"/>
      <c r="H1" s="40"/>
      <c r="I1" s="40"/>
    </row>
    <row r="2" spans="1:9" x14ac:dyDescent="0.2"/>
    <row r="3" spans="1:9" x14ac:dyDescent="0.2">
      <c r="A3" s="41" t="s">
        <v>26</v>
      </c>
      <c r="B3" s="40"/>
      <c r="C3" s="40"/>
      <c r="D3" s="40"/>
      <c r="E3" s="40"/>
      <c r="F3" s="40"/>
      <c r="G3" s="40"/>
      <c r="H3" s="40"/>
      <c r="I3" s="40"/>
    </row>
    <row r="4" spans="1:9" ht="30" x14ac:dyDescent="0.2">
      <c r="A4" s="4" t="s">
        <v>27</v>
      </c>
      <c r="B4" s="4" t="s">
        <v>28</v>
      </c>
      <c r="C4" s="4" t="s">
        <v>29</v>
      </c>
      <c r="D4" s="4" t="s">
        <v>30</v>
      </c>
      <c r="E4" s="4" t="s">
        <v>31</v>
      </c>
      <c r="F4" s="4" t="s">
        <v>32</v>
      </c>
      <c r="G4" s="4" t="s">
        <v>33</v>
      </c>
      <c r="H4" s="4" t="s">
        <v>34</v>
      </c>
      <c r="I4" s="4" t="s">
        <v>35</v>
      </c>
    </row>
    <row r="5" spans="1:9" x14ac:dyDescent="0.2">
      <c r="A5" s="7">
        <v>1</v>
      </c>
      <c r="B5" s="7" t="s">
        <v>189</v>
      </c>
      <c r="C5" s="7" t="s">
        <v>190</v>
      </c>
      <c r="D5" s="7">
        <v>10</v>
      </c>
      <c r="E5" s="7">
        <v>3500</v>
      </c>
      <c r="F5" s="7"/>
      <c r="G5" s="10"/>
      <c r="H5" s="10"/>
      <c r="I5" s="7"/>
    </row>
    <row r="6" spans="1:9" x14ac:dyDescent="0.2">
      <c r="A6" s="7">
        <v>2</v>
      </c>
      <c r="B6" s="7" t="s">
        <v>191</v>
      </c>
      <c r="C6" s="7" t="s">
        <v>192</v>
      </c>
      <c r="D6" s="7">
        <v>9</v>
      </c>
      <c r="E6" s="7">
        <v>2968</v>
      </c>
      <c r="F6" s="7"/>
      <c r="G6" s="10"/>
      <c r="H6" s="10"/>
      <c r="I6" s="7"/>
    </row>
    <row r="7" spans="1:9" x14ac:dyDescent="0.2"/>
    <row r="8" spans="1:9" x14ac:dyDescent="0.2">
      <c r="A8" s="41" t="s">
        <v>50</v>
      </c>
      <c r="B8" s="40"/>
      <c r="C8" s="40"/>
      <c r="D8" s="40"/>
      <c r="E8" s="40"/>
      <c r="F8" s="40"/>
      <c r="G8" s="40"/>
      <c r="H8" s="40"/>
      <c r="I8" s="40"/>
    </row>
    <row r="9" spans="1:9" ht="30" x14ac:dyDescent="0.2">
      <c r="A9" s="4" t="s">
        <v>51</v>
      </c>
      <c r="B9" s="38" t="s">
        <v>28</v>
      </c>
      <c r="C9" s="36"/>
      <c r="D9" s="4" t="s">
        <v>52</v>
      </c>
      <c r="E9" s="4" t="s">
        <v>33</v>
      </c>
      <c r="F9" s="4" t="s">
        <v>34</v>
      </c>
      <c r="G9" s="4" t="s">
        <v>35</v>
      </c>
    </row>
    <row r="10" spans="1:9" x14ac:dyDescent="0.2">
      <c r="A10" s="28" t="s">
        <v>53</v>
      </c>
      <c r="B10" s="42" t="s">
        <v>189</v>
      </c>
      <c r="C10" s="36"/>
      <c r="D10" s="7"/>
      <c r="E10" s="10"/>
      <c r="F10" s="10"/>
      <c r="G10" s="7"/>
    </row>
    <row r="11" spans="1:9" x14ac:dyDescent="0.2">
      <c r="A11" s="28" t="s">
        <v>54</v>
      </c>
      <c r="B11" s="42" t="s">
        <v>189</v>
      </c>
      <c r="C11" s="36"/>
      <c r="D11" s="7"/>
      <c r="E11" s="10"/>
      <c r="F11" s="10"/>
      <c r="G11" s="7"/>
    </row>
    <row r="12" spans="1:9" x14ac:dyDescent="0.2">
      <c r="A12" s="28" t="s">
        <v>55</v>
      </c>
      <c r="B12" s="42" t="s">
        <v>189</v>
      </c>
      <c r="C12" s="36"/>
      <c r="D12" s="7"/>
      <c r="E12" s="10"/>
      <c r="F12" s="10"/>
      <c r="G12" s="7"/>
    </row>
    <row r="13" spans="1:9" x14ac:dyDescent="0.2">
      <c r="A13" s="28" t="s">
        <v>56</v>
      </c>
      <c r="B13" s="42" t="s">
        <v>189</v>
      </c>
      <c r="C13" s="36"/>
      <c r="D13" s="7"/>
      <c r="E13" s="10"/>
      <c r="F13" s="10"/>
      <c r="G13" s="7"/>
    </row>
    <row r="14" spans="1:9" x14ac:dyDescent="0.2">
      <c r="A14" s="28" t="s">
        <v>57</v>
      </c>
      <c r="B14" s="42" t="s">
        <v>189</v>
      </c>
      <c r="C14" s="36"/>
      <c r="D14" s="7"/>
      <c r="E14" s="10"/>
      <c r="F14" s="10"/>
      <c r="G14" s="7"/>
    </row>
    <row r="15" spans="1:9" x14ac:dyDescent="0.2">
      <c r="A15" s="28" t="s">
        <v>60</v>
      </c>
      <c r="B15" s="42" t="s">
        <v>189</v>
      </c>
      <c r="C15" s="36"/>
      <c r="D15" s="7"/>
      <c r="E15" s="10"/>
      <c r="F15" s="10"/>
      <c r="G15" s="7"/>
    </row>
    <row r="16" spans="1:9" x14ac:dyDescent="0.2">
      <c r="A16" s="28" t="s">
        <v>61</v>
      </c>
      <c r="B16" s="42" t="s">
        <v>189</v>
      </c>
      <c r="C16" s="36"/>
      <c r="D16" s="7"/>
      <c r="E16" s="10"/>
      <c r="F16" s="10"/>
      <c r="G16" s="7"/>
    </row>
    <row r="17" spans="1:7" x14ac:dyDescent="0.2">
      <c r="A17" s="28" t="s">
        <v>62</v>
      </c>
      <c r="B17" s="42" t="s">
        <v>189</v>
      </c>
      <c r="C17" s="36"/>
      <c r="D17" s="7"/>
      <c r="E17" s="10"/>
      <c r="F17" s="10"/>
      <c r="G17" s="7"/>
    </row>
    <row r="18" spans="1:7" x14ac:dyDescent="0.2">
      <c r="A18" s="28" t="s">
        <v>63</v>
      </c>
      <c r="B18" s="42" t="s">
        <v>189</v>
      </c>
      <c r="C18" s="36"/>
      <c r="D18" s="7"/>
      <c r="E18" s="10"/>
      <c r="F18" s="10"/>
      <c r="G18" s="7"/>
    </row>
    <row r="19" spans="1:7" x14ac:dyDescent="0.2">
      <c r="A19" s="28" t="s">
        <v>64</v>
      </c>
      <c r="B19" s="42" t="s">
        <v>189</v>
      </c>
      <c r="C19" s="36"/>
      <c r="D19" s="7"/>
      <c r="E19" s="10"/>
      <c r="F19" s="10"/>
      <c r="G19" s="7"/>
    </row>
    <row r="20" spans="1:7" x14ac:dyDescent="0.2">
      <c r="A20" s="28" t="s">
        <v>58</v>
      </c>
      <c r="B20" s="42" t="s">
        <v>191</v>
      </c>
      <c r="C20" s="36"/>
      <c r="D20" s="7"/>
      <c r="E20" s="10"/>
      <c r="F20" s="10"/>
      <c r="G20" s="7"/>
    </row>
    <row r="21" spans="1:7" ht="15.75" customHeight="1" x14ac:dyDescent="0.2">
      <c r="A21" s="28" t="s">
        <v>59</v>
      </c>
      <c r="B21" s="42" t="s">
        <v>191</v>
      </c>
      <c r="C21" s="36"/>
      <c r="D21" s="7"/>
      <c r="E21" s="10"/>
      <c r="F21" s="10"/>
      <c r="G21" s="7"/>
    </row>
    <row r="22" spans="1:7" ht="15.75" customHeight="1" x14ac:dyDescent="0.2">
      <c r="A22" s="28" t="s">
        <v>65</v>
      </c>
      <c r="B22" s="42" t="s">
        <v>191</v>
      </c>
      <c r="C22" s="36"/>
      <c r="D22" s="7"/>
      <c r="E22" s="10"/>
      <c r="F22" s="10"/>
      <c r="G22" s="7"/>
    </row>
    <row r="23" spans="1:7" ht="15.75" customHeight="1" x14ac:dyDescent="0.2">
      <c r="A23" s="28" t="s">
        <v>66</v>
      </c>
      <c r="B23" s="42" t="s">
        <v>191</v>
      </c>
      <c r="C23" s="36"/>
      <c r="D23" s="7"/>
      <c r="E23" s="10"/>
      <c r="F23" s="10"/>
      <c r="G23" s="7"/>
    </row>
    <row r="24" spans="1:7" ht="15.75" customHeight="1" x14ac:dyDescent="0.2">
      <c r="A24" s="28" t="s">
        <v>67</v>
      </c>
      <c r="B24" s="42" t="s">
        <v>191</v>
      </c>
      <c r="C24" s="36"/>
      <c r="D24" s="7"/>
      <c r="E24" s="10"/>
      <c r="F24" s="10"/>
      <c r="G24" s="7"/>
    </row>
    <row r="25" spans="1:7" ht="15.75" customHeight="1" x14ac:dyDescent="0.2">
      <c r="A25" s="28" t="s">
        <v>71</v>
      </c>
      <c r="B25" s="42" t="s">
        <v>191</v>
      </c>
      <c r="C25" s="36"/>
      <c r="D25" s="7"/>
      <c r="E25" s="10"/>
      <c r="F25" s="10"/>
      <c r="G25" s="7"/>
    </row>
    <row r="26" spans="1:7" ht="15.75" customHeight="1" x14ac:dyDescent="0.2">
      <c r="A26" s="28" t="s">
        <v>72</v>
      </c>
      <c r="B26" s="42" t="s">
        <v>191</v>
      </c>
      <c r="C26" s="36"/>
      <c r="D26" s="7"/>
      <c r="E26" s="10"/>
      <c r="F26" s="10"/>
      <c r="G26" s="7"/>
    </row>
    <row r="27" spans="1:7" ht="15.75" customHeight="1" x14ac:dyDescent="0.2">
      <c r="A27" s="28" t="s">
        <v>73</v>
      </c>
      <c r="B27" s="42" t="s">
        <v>191</v>
      </c>
      <c r="C27" s="36"/>
      <c r="D27" s="7"/>
      <c r="E27" s="10"/>
      <c r="F27" s="10"/>
      <c r="G27" s="7"/>
    </row>
    <row r="28" spans="1:7" ht="15.75" customHeight="1" x14ac:dyDescent="0.2">
      <c r="A28" s="28" t="s">
        <v>74</v>
      </c>
      <c r="B28" s="42" t="s">
        <v>191</v>
      </c>
      <c r="C28" s="36"/>
      <c r="D28" s="7"/>
      <c r="E28" s="10"/>
      <c r="F28" s="10"/>
      <c r="G28" s="7"/>
    </row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3">
    <mergeCell ref="A1:I1"/>
    <mergeCell ref="B26:C26"/>
    <mergeCell ref="B28:C28"/>
    <mergeCell ref="B9:C9"/>
    <mergeCell ref="B24:C24"/>
    <mergeCell ref="B15:C15"/>
    <mergeCell ref="B20:C20"/>
    <mergeCell ref="B27:C27"/>
    <mergeCell ref="B12:C12"/>
    <mergeCell ref="B21:C21"/>
    <mergeCell ref="B11:C11"/>
    <mergeCell ref="B23:C23"/>
    <mergeCell ref="B14:C14"/>
    <mergeCell ref="B17:C17"/>
    <mergeCell ref="B13:C13"/>
    <mergeCell ref="B19:C19"/>
    <mergeCell ref="B16:C16"/>
    <mergeCell ref="B25:C25"/>
    <mergeCell ref="B22:C22"/>
    <mergeCell ref="A3:I3"/>
    <mergeCell ref="B18:C18"/>
    <mergeCell ref="A8:I8"/>
    <mergeCell ref="B10:C10"/>
  </mergeCells>
  <conditionalFormatting sqref="E10:E28">
    <cfRule type="expression" dxfId="23" priority="2">
      <formula>AND($E10&lt;&gt;"",COUNTIF($G$5:$G$6,$E10)+COUNTIF($E$10:$E$28,$E10)&gt;1)</formula>
    </cfRule>
  </conditionalFormatting>
  <conditionalFormatting sqref="G5:G6">
    <cfRule type="expression" dxfId="22" priority="1">
      <formula>AND($G5&lt;&gt;"",COUNTIF($G$5:$G$6,$G5)+COUNTIF($E$10:$E$28,$G5)&gt;1)</formula>
    </cfRule>
  </conditionalFormatting>
  <pageMargins left="0.75" right="0.75" top="1" bottom="1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00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4.5" defaultRowHeight="15" customHeight="1" x14ac:dyDescent="0.2"/>
  <cols>
    <col min="1" max="1" width="8" customWidth="1"/>
    <col min="2" max="2" width="42" customWidth="1"/>
    <col min="3" max="3" width="35" customWidth="1"/>
    <col min="4" max="5" width="14" customWidth="1"/>
    <col min="6" max="6" width="26" customWidth="1"/>
    <col min="7" max="7" width="12" customWidth="1"/>
    <col min="8" max="8" width="13" customWidth="1"/>
    <col min="9" max="9" width="22" customWidth="1"/>
    <col min="10" max="26" width="8.6640625" customWidth="1"/>
  </cols>
  <sheetData>
    <row r="1" spans="1:9" ht="17" x14ac:dyDescent="0.2">
      <c r="A1" s="39" t="s">
        <v>193</v>
      </c>
      <c r="B1" s="40"/>
      <c r="C1" s="40"/>
      <c r="D1" s="40"/>
      <c r="E1" s="40"/>
      <c r="F1" s="40"/>
      <c r="G1" s="40"/>
      <c r="H1" s="40"/>
      <c r="I1" s="40"/>
    </row>
    <row r="2" spans="1:9" x14ac:dyDescent="0.2"/>
    <row r="3" spans="1:9" x14ac:dyDescent="0.2">
      <c r="A3" s="41" t="s">
        <v>26</v>
      </c>
      <c r="B3" s="40"/>
      <c r="C3" s="40"/>
      <c r="D3" s="40"/>
      <c r="E3" s="40"/>
      <c r="F3" s="40"/>
      <c r="G3" s="40"/>
      <c r="H3" s="40"/>
      <c r="I3" s="40"/>
    </row>
    <row r="4" spans="1:9" ht="30" x14ac:dyDescent="0.2">
      <c r="A4" s="4" t="s">
        <v>27</v>
      </c>
      <c r="B4" s="4" t="s">
        <v>28</v>
      </c>
      <c r="C4" s="4" t="s">
        <v>29</v>
      </c>
      <c r="D4" s="4" t="s">
        <v>30</v>
      </c>
      <c r="E4" s="4" t="s">
        <v>31</v>
      </c>
      <c r="F4" s="4" t="s">
        <v>32</v>
      </c>
      <c r="G4" s="4" t="s">
        <v>33</v>
      </c>
      <c r="H4" s="4" t="s">
        <v>34</v>
      </c>
      <c r="I4" s="4" t="s">
        <v>35</v>
      </c>
    </row>
    <row r="5" spans="1:9" x14ac:dyDescent="0.2">
      <c r="A5" s="7">
        <v>1</v>
      </c>
      <c r="B5" s="7" t="s">
        <v>194</v>
      </c>
      <c r="C5" s="7" t="s">
        <v>195</v>
      </c>
      <c r="D5" s="7">
        <v>8</v>
      </c>
      <c r="E5" s="7">
        <v>2800</v>
      </c>
      <c r="F5" s="7"/>
      <c r="G5" s="10"/>
      <c r="H5" s="10"/>
      <c r="I5" s="7"/>
    </row>
    <row r="6" spans="1:9" x14ac:dyDescent="0.2">
      <c r="A6" s="7">
        <v>2</v>
      </c>
      <c r="B6" s="7" t="s">
        <v>196</v>
      </c>
      <c r="C6" s="7" t="s">
        <v>197</v>
      </c>
      <c r="D6" s="7">
        <v>7</v>
      </c>
      <c r="E6" s="7">
        <v>2193</v>
      </c>
      <c r="F6" s="7"/>
      <c r="G6" s="10"/>
      <c r="H6" s="10"/>
      <c r="I6" s="7"/>
    </row>
    <row r="7" spans="1:9" x14ac:dyDescent="0.2"/>
    <row r="8" spans="1:9" x14ac:dyDescent="0.2">
      <c r="A8" s="41" t="s">
        <v>50</v>
      </c>
      <c r="B8" s="40"/>
      <c r="C8" s="40"/>
      <c r="D8" s="40"/>
      <c r="E8" s="40"/>
      <c r="F8" s="40"/>
      <c r="G8" s="40"/>
      <c r="H8" s="40"/>
      <c r="I8" s="40"/>
    </row>
    <row r="9" spans="1:9" ht="30" x14ac:dyDescent="0.2">
      <c r="A9" s="4" t="s">
        <v>51</v>
      </c>
      <c r="B9" s="38" t="s">
        <v>28</v>
      </c>
      <c r="C9" s="36"/>
      <c r="D9" s="4" t="s">
        <v>52</v>
      </c>
      <c r="E9" s="4" t="s">
        <v>33</v>
      </c>
      <c r="F9" s="4" t="s">
        <v>34</v>
      </c>
      <c r="G9" s="4" t="s">
        <v>35</v>
      </c>
    </row>
    <row r="10" spans="1:9" x14ac:dyDescent="0.2">
      <c r="A10" s="28" t="s">
        <v>53</v>
      </c>
      <c r="B10" s="42" t="s">
        <v>194</v>
      </c>
      <c r="C10" s="36"/>
      <c r="D10" s="7"/>
      <c r="E10" s="10"/>
      <c r="F10" s="10"/>
      <c r="G10" s="7"/>
    </row>
    <row r="11" spans="1:9" x14ac:dyDescent="0.2">
      <c r="A11" s="28" t="s">
        <v>54</v>
      </c>
      <c r="B11" s="42" t="s">
        <v>194</v>
      </c>
      <c r="C11" s="36"/>
      <c r="D11" s="7"/>
      <c r="E11" s="10"/>
      <c r="F11" s="10"/>
      <c r="G11" s="7"/>
    </row>
    <row r="12" spans="1:9" x14ac:dyDescent="0.2">
      <c r="A12" s="28" t="s">
        <v>55</v>
      </c>
      <c r="B12" s="42" t="s">
        <v>194</v>
      </c>
      <c r="C12" s="36"/>
      <c r="D12" s="7"/>
      <c r="E12" s="10"/>
      <c r="F12" s="10"/>
      <c r="G12" s="7"/>
    </row>
    <row r="13" spans="1:9" x14ac:dyDescent="0.2">
      <c r="A13" s="28" t="s">
        <v>56</v>
      </c>
      <c r="B13" s="42" t="s">
        <v>194</v>
      </c>
      <c r="C13" s="36"/>
      <c r="D13" s="7"/>
      <c r="E13" s="10"/>
      <c r="F13" s="10"/>
      <c r="G13" s="7"/>
    </row>
    <row r="14" spans="1:9" x14ac:dyDescent="0.2">
      <c r="A14" s="28" t="s">
        <v>60</v>
      </c>
      <c r="B14" s="42" t="s">
        <v>194</v>
      </c>
      <c r="C14" s="36"/>
      <c r="D14" s="7"/>
      <c r="E14" s="10"/>
      <c r="F14" s="10"/>
      <c r="G14" s="7"/>
    </row>
    <row r="15" spans="1:9" x14ac:dyDescent="0.2">
      <c r="A15" s="28" t="s">
        <v>61</v>
      </c>
      <c r="B15" s="42" t="s">
        <v>194</v>
      </c>
      <c r="C15" s="36"/>
      <c r="D15" s="7"/>
      <c r="E15" s="10"/>
      <c r="F15" s="10"/>
      <c r="G15" s="7"/>
    </row>
    <row r="16" spans="1:9" x14ac:dyDescent="0.2">
      <c r="A16" s="28" t="s">
        <v>62</v>
      </c>
      <c r="B16" s="42" t="s">
        <v>194</v>
      </c>
      <c r="C16" s="36"/>
      <c r="D16" s="7"/>
      <c r="E16" s="10"/>
      <c r="F16" s="10"/>
      <c r="G16" s="7"/>
    </row>
    <row r="17" spans="1:7" x14ac:dyDescent="0.2">
      <c r="A17" s="28" t="s">
        <v>63</v>
      </c>
      <c r="B17" s="42" t="s">
        <v>194</v>
      </c>
      <c r="C17" s="36"/>
      <c r="D17" s="7"/>
      <c r="E17" s="10"/>
      <c r="F17" s="10"/>
      <c r="G17" s="7"/>
    </row>
    <row r="18" spans="1:7" x14ac:dyDescent="0.2">
      <c r="A18" s="28" t="s">
        <v>57</v>
      </c>
      <c r="B18" s="42" t="s">
        <v>196</v>
      </c>
      <c r="C18" s="36"/>
      <c r="D18" s="7"/>
      <c r="E18" s="10"/>
      <c r="F18" s="10"/>
      <c r="G18" s="7"/>
    </row>
    <row r="19" spans="1:7" x14ac:dyDescent="0.2">
      <c r="A19" s="28" t="s">
        <v>58</v>
      </c>
      <c r="B19" s="42" t="s">
        <v>196</v>
      </c>
      <c r="C19" s="36"/>
      <c r="D19" s="7"/>
      <c r="E19" s="10"/>
      <c r="F19" s="10"/>
      <c r="G19" s="7"/>
    </row>
    <row r="20" spans="1:7" x14ac:dyDescent="0.2">
      <c r="A20" s="28" t="s">
        <v>59</v>
      </c>
      <c r="B20" s="42" t="s">
        <v>196</v>
      </c>
      <c r="C20" s="36"/>
      <c r="D20" s="7"/>
      <c r="E20" s="10"/>
      <c r="F20" s="10"/>
      <c r="G20" s="7"/>
    </row>
    <row r="21" spans="1:7" ht="15.75" customHeight="1" x14ac:dyDescent="0.2">
      <c r="A21" s="28" t="s">
        <v>65</v>
      </c>
      <c r="B21" s="42" t="s">
        <v>196</v>
      </c>
      <c r="C21" s="36"/>
      <c r="D21" s="7"/>
      <c r="E21" s="10"/>
      <c r="F21" s="10"/>
      <c r="G21" s="7"/>
    </row>
    <row r="22" spans="1:7" ht="15.75" customHeight="1" x14ac:dyDescent="0.2">
      <c r="A22" s="28" t="s">
        <v>64</v>
      </c>
      <c r="B22" s="42" t="s">
        <v>196</v>
      </c>
      <c r="C22" s="36"/>
      <c r="D22" s="7"/>
      <c r="E22" s="10"/>
      <c r="F22" s="10"/>
      <c r="G22" s="7"/>
    </row>
    <row r="23" spans="1:7" ht="15.75" customHeight="1" x14ac:dyDescent="0.2">
      <c r="A23" s="28" t="s">
        <v>71</v>
      </c>
      <c r="B23" s="42" t="s">
        <v>196</v>
      </c>
      <c r="C23" s="36"/>
      <c r="D23" s="7"/>
      <c r="E23" s="10"/>
      <c r="F23" s="10"/>
      <c r="G23" s="7"/>
    </row>
    <row r="24" spans="1:7" ht="15.75" customHeight="1" x14ac:dyDescent="0.2">
      <c r="A24" s="28" t="s">
        <v>72</v>
      </c>
      <c r="B24" s="42" t="s">
        <v>196</v>
      </c>
      <c r="C24" s="36"/>
      <c r="D24" s="7"/>
      <c r="E24" s="10"/>
      <c r="F24" s="10"/>
      <c r="G24" s="7"/>
    </row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B24:C24"/>
    <mergeCell ref="B15:C15"/>
    <mergeCell ref="B20:C20"/>
    <mergeCell ref="A1:I1"/>
    <mergeCell ref="B23:C23"/>
    <mergeCell ref="B14:C14"/>
    <mergeCell ref="A8:I8"/>
    <mergeCell ref="B17:C17"/>
    <mergeCell ref="B13:C13"/>
    <mergeCell ref="B19:C19"/>
    <mergeCell ref="B10:C10"/>
    <mergeCell ref="B9:C9"/>
    <mergeCell ref="B16:C16"/>
    <mergeCell ref="B22:C22"/>
    <mergeCell ref="A3:I3"/>
    <mergeCell ref="B18:C18"/>
    <mergeCell ref="B12:C12"/>
    <mergeCell ref="B21:C21"/>
    <mergeCell ref="B11:C11"/>
  </mergeCells>
  <conditionalFormatting sqref="E10:E24">
    <cfRule type="expression" dxfId="21" priority="2">
      <formula>AND($E10&lt;&gt;"",COUNTIF($G$5:$G$6,$E10)+COUNTIF($E$10:$E$24,$E10)&gt;1)</formula>
    </cfRule>
  </conditionalFormatting>
  <conditionalFormatting sqref="G5:G6">
    <cfRule type="expression" dxfId="20" priority="1">
      <formula>AND($G5&lt;&gt;"",COUNTIF($G$5:$G$6,$G5)+COUNTIF($E$10:$E$24,$G5)&gt;1)</formula>
    </cfRule>
  </conditionalFormatting>
  <pageMargins left="0.75" right="0.75" top="1" bottom="1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000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4.5" defaultRowHeight="15" customHeight="1" x14ac:dyDescent="0.2"/>
  <cols>
    <col min="1" max="1" width="8" customWidth="1"/>
    <col min="2" max="2" width="42" customWidth="1"/>
    <col min="3" max="3" width="35" customWidth="1"/>
    <col min="4" max="5" width="14" customWidth="1"/>
    <col min="6" max="6" width="26" customWidth="1"/>
    <col min="7" max="7" width="12" customWidth="1"/>
    <col min="8" max="8" width="13" customWidth="1"/>
    <col min="9" max="9" width="22" customWidth="1"/>
    <col min="10" max="26" width="8.6640625" customWidth="1"/>
  </cols>
  <sheetData>
    <row r="1" spans="1:9" ht="17" x14ac:dyDescent="0.2">
      <c r="A1" s="39" t="s">
        <v>198</v>
      </c>
      <c r="B1" s="40"/>
      <c r="C1" s="40"/>
      <c r="D1" s="40"/>
      <c r="E1" s="40"/>
      <c r="F1" s="40"/>
      <c r="G1" s="40"/>
      <c r="H1" s="40"/>
      <c r="I1" s="40"/>
    </row>
    <row r="2" spans="1:9" x14ac:dyDescent="0.2"/>
    <row r="3" spans="1:9" x14ac:dyDescent="0.2">
      <c r="A3" s="41" t="s">
        <v>26</v>
      </c>
      <c r="B3" s="40"/>
      <c r="C3" s="40"/>
      <c r="D3" s="40"/>
      <c r="E3" s="40"/>
      <c r="F3" s="40"/>
      <c r="G3" s="40"/>
      <c r="H3" s="40"/>
      <c r="I3" s="40"/>
    </row>
    <row r="4" spans="1:9" ht="30" x14ac:dyDescent="0.2">
      <c r="A4" s="4" t="s">
        <v>27</v>
      </c>
      <c r="B4" s="4" t="s">
        <v>28</v>
      </c>
      <c r="C4" s="4" t="s">
        <v>29</v>
      </c>
      <c r="D4" s="4" t="s">
        <v>30</v>
      </c>
      <c r="E4" s="4" t="s">
        <v>31</v>
      </c>
      <c r="F4" s="4" t="s">
        <v>32</v>
      </c>
      <c r="G4" s="4" t="s">
        <v>33</v>
      </c>
      <c r="H4" s="4" t="s">
        <v>34</v>
      </c>
      <c r="I4" s="4" t="s">
        <v>35</v>
      </c>
    </row>
    <row r="5" spans="1:9" x14ac:dyDescent="0.2">
      <c r="A5" s="7">
        <v>1</v>
      </c>
      <c r="B5" s="7" t="s">
        <v>199</v>
      </c>
      <c r="C5" s="7" t="s">
        <v>200</v>
      </c>
      <c r="D5" s="7">
        <v>25</v>
      </c>
      <c r="E5" s="7">
        <v>8391</v>
      </c>
      <c r="F5" s="7"/>
      <c r="G5" s="10"/>
      <c r="H5" s="10"/>
      <c r="I5" s="7"/>
    </row>
    <row r="6" spans="1:9" x14ac:dyDescent="0.2"/>
    <row r="7" spans="1:9" x14ac:dyDescent="0.2">
      <c r="A7" s="41" t="s">
        <v>50</v>
      </c>
      <c r="B7" s="40"/>
      <c r="C7" s="40"/>
      <c r="D7" s="40"/>
      <c r="E7" s="40"/>
      <c r="F7" s="40"/>
      <c r="G7" s="40"/>
      <c r="H7" s="40"/>
      <c r="I7" s="40"/>
    </row>
    <row r="8" spans="1:9" ht="30" x14ac:dyDescent="0.2">
      <c r="A8" s="4" t="s">
        <v>51</v>
      </c>
      <c r="B8" s="38" t="s">
        <v>28</v>
      </c>
      <c r="C8" s="36"/>
      <c r="D8" s="4" t="s">
        <v>52</v>
      </c>
      <c r="E8" s="4" t="s">
        <v>33</v>
      </c>
      <c r="F8" s="4" t="s">
        <v>34</v>
      </c>
      <c r="G8" s="4" t="s">
        <v>35</v>
      </c>
    </row>
    <row r="9" spans="1:9" x14ac:dyDescent="0.2">
      <c r="A9" s="28" t="s">
        <v>53</v>
      </c>
      <c r="B9" s="42" t="s">
        <v>199</v>
      </c>
      <c r="C9" s="36"/>
      <c r="D9" s="7"/>
      <c r="E9" s="10"/>
      <c r="F9" s="10"/>
      <c r="G9" s="7"/>
    </row>
    <row r="10" spans="1:9" x14ac:dyDescent="0.2">
      <c r="A10" s="28" t="s">
        <v>54</v>
      </c>
      <c r="B10" s="42" t="s">
        <v>199</v>
      </c>
      <c r="C10" s="36"/>
      <c r="D10" s="7"/>
      <c r="E10" s="10"/>
      <c r="F10" s="10"/>
      <c r="G10" s="7"/>
    </row>
    <row r="11" spans="1:9" x14ac:dyDescent="0.2">
      <c r="A11" s="28" t="s">
        <v>55</v>
      </c>
      <c r="B11" s="42" t="s">
        <v>199</v>
      </c>
      <c r="C11" s="36"/>
      <c r="D11" s="7"/>
      <c r="E11" s="10"/>
      <c r="F11" s="10"/>
      <c r="G11" s="7"/>
    </row>
    <row r="12" spans="1:9" x14ac:dyDescent="0.2">
      <c r="A12" s="28" t="s">
        <v>56</v>
      </c>
      <c r="B12" s="42" t="s">
        <v>199</v>
      </c>
      <c r="C12" s="36"/>
      <c r="D12" s="7"/>
      <c r="E12" s="10"/>
      <c r="F12" s="10"/>
      <c r="G12" s="7"/>
    </row>
    <row r="13" spans="1:9" x14ac:dyDescent="0.2">
      <c r="A13" s="28" t="s">
        <v>57</v>
      </c>
      <c r="B13" s="42" t="s">
        <v>199</v>
      </c>
      <c r="C13" s="36"/>
      <c r="D13" s="7"/>
      <c r="E13" s="10"/>
      <c r="F13" s="10"/>
      <c r="G13" s="7"/>
    </row>
    <row r="14" spans="1:9" x14ac:dyDescent="0.2">
      <c r="A14" s="28" t="s">
        <v>58</v>
      </c>
      <c r="B14" s="42" t="s">
        <v>199</v>
      </c>
      <c r="C14" s="36"/>
      <c r="D14" s="7"/>
      <c r="E14" s="10"/>
      <c r="F14" s="10"/>
      <c r="G14" s="7"/>
    </row>
    <row r="15" spans="1:9" x14ac:dyDescent="0.2">
      <c r="A15" s="28" t="s">
        <v>59</v>
      </c>
      <c r="B15" s="42" t="s">
        <v>199</v>
      </c>
      <c r="C15" s="36"/>
      <c r="D15" s="7"/>
      <c r="E15" s="10"/>
      <c r="F15" s="10"/>
      <c r="G15" s="7"/>
    </row>
    <row r="16" spans="1:9" x14ac:dyDescent="0.2">
      <c r="A16" s="28" t="s">
        <v>65</v>
      </c>
      <c r="B16" s="42" t="s">
        <v>199</v>
      </c>
      <c r="C16" s="36"/>
      <c r="D16" s="7"/>
      <c r="E16" s="10"/>
      <c r="F16" s="10"/>
      <c r="G16" s="7"/>
    </row>
    <row r="17" spans="1:7" x14ac:dyDescent="0.2">
      <c r="A17" s="28" t="s">
        <v>66</v>
      </c>
      <c r="B17" s="42" t="s">
        <v>199</v>
      </c>
      <c r="C17" s="36"/>
      <c r="D17" s="7"/>
      <c r="E17" s="10"/>
      <c r="F17" s="10"/>
      <c r="G17" s="7"/>
    </row>
    <row r="18" spans="1:7" x14ac:dyDescent="0.2">
      <c r="A18" s="28" t="s">
        <v>67</v>
      </c>
      <c r="B18" s="42" t="s">
        <v>199</v>
      </c>
      <c r="C18" s="36"/>
      <c r="D18" s="7"/>
      <c r="E18" s="10"/>
      <c r="F18" s="10"/>
      <c r="G18" s="7"/>
    </row>
    <row r="19" spans="1:7" x14ac:dyDescent="0.2">
      <c r="A19" s="28" t="s">
        <v>68</v>
      </c>
      <c r="B19" s="42" t="s">
        <v>199</v>
      </c>
      <c r="C19" s="36"/>
      <c r="D19" s="7"/>
      <c r="E19" s="10"/>
      <c r="F19" s="10"/>
      <c r="G19" s="7"/>
    </row>
    <row r="20" spans="1:7" x14ac:dyDescent="0.2">
      <c r="A20" s="28" t="s">
        <v>69</v>
      </c>
      <c r="B20" s="42" t="s">
        <v>199</v>
      </c>
      <c r="C20" s="36"/>
      <c r="D20" s="7"/>
      <c r="E20" s="10"/>
      <c r="F20" s="10"/>
      <c r="G20" s="7"/>
    </row>
    <row r="21" spans="1:7" ht="15.75" customHeight="1" x14ac:dyDescent="0.2">
      <c r="A21" s="28" t="s">
        <v>70</v>
      </c>
      <c r="B21" s="42" t="s">
        <v>199</v>
      </c>
      <c r="C21" s="36"/>
      <c r="D21" s="7"/>
      <c r="E21" s="10"/>
      <c r="F21" s="10"/>
      <c r="G21" s="7"/>
    </row>
    <row r="22" spans="1:7" ht="15.75" customHeight="1" x14ac:dyDescent="0.2">
      <c r="A22" s="28" t="s">
        <v>60</v>
      </c>
      <c r="B22" s="42" t="s">
        <v>199</v>
      </c>
      <c r="C22" s="36"/>
      <c r="D22" s="7"/>
      <c r="E22" s="10"/>
      <c r="F22" s="10"/>
      <c r="G22" s="7"/>
    </row>
    <row r="23" spans="1:7" ht="15.75" customHeight="1" x14ac:dyDescent="0.2">
      <c r="A23" s="28" t="s">
        <v>61</v>
      </c>
      <c r="B23" s="42" t="s">
        <v>199</v>
      </c>
      <c r="C23" s="36"/>
      <c r="D23" s="7"/>
      <c r="E23" s="10"/>
      <c r="F23" s="10"/>
      <c r="G23" s="7"/>
    </row>
    <row r="24" spans="1:7" ht="15.75" customHeight="1" x14ac:dyDescent="0.2">
      <c r="A24" s="28" t="s">
        <v>62</v>
      </c>
      <c r="B24" s="42" t="s">
        <v>199</v>
      </c>
      <c r="C24" s="36"/>
      <c r="D24" s="7"/>
      <c r="E24" s="10"/>
      <c r="F24" s="10"/>
      <c r="G24" s="7"/>
    </row>
    <row r="25" spans="1:7" ht="15.75" customHeight="1" x14ac:dyDescent="0.2">
      <c r="A25" s="28" t="s">
        <v>63</v>
      </c>
      <c r="B25" s="42" t="s">
        <v>199</v>
      </c>
      <c r="C25" s="36"/>
      <c r="D25" s="7"/>
      <c r="E25" s="10"/>
      <c r="F25" s="10"/>
      <c r="G25" s="7"/>
    </row>
    <row r="26" spans="1:7" ht="15.75" customHeight="1" x14ac:dyDescent="0.2">
      <c r="A26" s="28" t="s">
        <v>64</v>
      </c>
      <c r="B26" s="42" t="s">
        <v>199</v>
      </c>
      <c r="C26" s="36"/>
      <c r="D26" s="7"/>
      <c r="E26" s="10"/>
      <c r="F26" s="10"/>
      <c r="G26" s="7"/>
    </row>
    <row r="27" spans="1:7" ht="15.75" customHeight="1" x14ac:dyDescent="0.2">
      <c r="A27" s="28" t="s">
        <v>71</v>
      </c>
      <c r="B27" s="42" t="s">
        <v>199</v>
      </c>
      <c r="C27" s="36"/>
      <c r="D27" s="7"/>
      <c r="E27" s="10"/>
      <c r="F27" s="10"/>
      <c r="G27" s="7"/>
    </row>
    <row r="28" spans="1:7" ht="15.75" customHeight="1" x14ac:dyDescent="0.2">
      <c r="A28" s="28" t="s">
        <v>72</v>
      </c>
      <c r="B28" s="42" t="s">
        <v>199</v>
      </c>
      <c r="C28" s="36"/>
      <c r="D28" s="7"/>
      <c r="E28" s="10"/>
      <c r="F28" s="10"/>
      <c r="G28" s="7"/>
    </row>
    <row r="29" spans="1:7" ht="15.75" customHeight="1" x14ac:dyDescent="0.2">
      <c r="A29" s="28" t="s">
        <v>73</v>
      </c>
      <c r="B29" s="42" t="s">
        <v>199</v>
      </c>
      <c r="C29" s="36"/>
      <c r="D29" s="7"/>
      <c r="E29" s="10"/>
      <c r="F29" s="10"/>
      <c r="G29" s="7"/>
    </row>
    <row r="30" spans="1:7" ht="15.75" customHeight="1" x14ac:dyDescent="0.2">
      <c r="A30" s="28" t="s">
        <v>74</v>
      </c>
      <c r="B30" s="42" t="s">
        <v>199</v>
      </c>
      <c r="C30" s="36"/>
      <c r="D30" s="7"/>
      <c r="E30" s="10"/>
      <c r="F30" s="10"/>
      <c r="G30" s="7"/>
    </row>
    <row r="31" spans="1:7" ht="15.75" customHeight="1" x14ac:dyDescent="0.2">
      <c r="A31" s="28" t="s">
        <v>75</v>
      </c>
      <c r="B31" s="42" t="s">
        <v>199</v>
      </c>
      <c r="C31" s="36"/>
      <c r="D31" s="7"/>
      <c r="E31" s="10"/>
      <c r="F31" s="10"/>
      <c r="G31" s="7"/>
    </row>
    <row r="32" spans="1:7" ht="15.75" customHeight="1" x14ac:dyDescent="0.2">
      <c r="A32" s="28" t="s">
        <v>76</v>
      </c>
      <c r="B32" s="42" t="s">
        <v>199</v>
      </c>
      <c r="C32" s="36"/>
      <c r="D32" s="7"/>
      <c r="E32" s="10"/>
      <c r="F32" s="10"/>
      <c r="G32" s="7"/>
    </row>
    <row r="33" spans="1:7" ht="15.75" customHeight="1" x14ac:dyDescent="0.2">
      <c r="A33" s="28" t="s">
        <v>84</v>
      </c>
      <c r="B33" s="42" t="s">
        <v>199</v>
      </c>
      <c r="C33" s="36"/>
      <c r="D33" s="7"/>
      <c r="E33" s="10"/>
      <c r="F33" s="10"/>
      <c r="G33" s="7"/>
    </row>
    <row r="34" spans="1:7" ht="15.75" customHeight="1" x14ac:dyDescent="0.2"/>
    <row r="35" spans="1:7" ht="15.75" customHeight="1" x14ac:dyDescent="0.2"/>
    <row r="36" spans="1:7" ht="15.75" customHeight="1" x14ac:dyDescent="0.2"/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9">
    <mergeCell ref="B33:C33"/>
    <mergeCell ref="B20:C20"/>
    <mergeCell ref="A1:I1"/>
    <mergeCell ref="B32:C32"/>
    <mergeCell ref="B26:C26"/>
    <mergeCell ref="B31:C31"/>
    <mergeCell ref="B18:C18"/>
    <mergeCell ref="B27:C27"/>
    <mergeCell ref="B12:C12"/>
    <mergeCell ref="B21:C21"/>
    <mergeCell ref="B23:C23"/>
    <mergeCell ref="B14:C14"/>
    <mergeCell ref="B17:C17"/>
    <mergeCell ref="B13:C13"/>
    <mergeCell ref="B29:C29"/>
    <mergeCell ref="B19:C19"/>
    <mergeCell ref="B28:C28"/>
    <mergeCell ref="B24:C24"/>
    <mergeCell ref="B30:C30"/>
    <mergeCell ref="B15:C15"/>
    <mergeCell ref="A7:I7"/>
    <mergeCell ref="B16:C16"/>
    <mergeCell ref="B25:C25"/>
    <mergeCell ref="B22:C22"/>
    <mergeCell ref="A3:I3"/>
    <mergeCell ref="B11:C11"/>
    <mergeCell ref="B8:C8"/>
    <mergeCell ref="B10:C10"/>
    <mergeCell ref="B9:C9"/>
  </mergeCells>
  <conditionalFormatting sqref="E9:E33">
    <cfRule type="expression" dxfId="19" priority="2">
      <formula>AND($E9&lt;&gt;"",COUNTIF($G$5,$E9)+COUNTIF($E$9:$E$33,$E9)&gt;1)</formula>
    </cfRule>
  </conditionalFormatting>
  <conditionalFormatting sqref="G5">
    <cfRule type="expression" dxfId="18" priority="1">
      <formula>AND($G5&lt;&gt;"",COUNTIF($G$5,$G5)+COUNTIF($E$9:$E$33,$G5)&gt;1)</formula>
    </cfRule>
  </conditionalFormatting>
  <pageMargins left="0.75" right="0.75" top="1" bottom="1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000"/>
  <sheetViews>
    <sheetView tabSelected="1" workbookViewId="0">
      <pane ySplit="4" topLeftCell="A5" activePane="bottomLeft" state="frozen"/>
      <selection pane="bottomLeft" activeCell="B6" sqref="B6"/>
    </sheetView>
  </sheetViews>
  <sheetFormatPr baseColWidth="10" defaultColWidth="14.5" defaultRowHeight="15" customHeight="1" x14ac:dyDescent="0.2"/>
  <cols>
    <col min="1" max="1" width="8" customWidth="1"/>
    <col min="2" max="2" width="42" customWidth="1"/>
    <col min="3" max="3" width="35" customWidth="1"/>
    <col min="4" max="5" width="14" customWidth="1"/>
    <col min="6" max="6" width="26" customWidth="1"/>
    <col min="7" max="7" width="12" customWidth="1"/>
    <col min="8" max="8" width="13" customWidth="1"/>
    <col min="9" max="9" width="22" customWidth="1"/>
    <col min="10" max="26" width="8.6640625" customWidth="1"/>
  </cols>
  <sheetData>
    <row r="1" spans="1:9" ht="17" x14ac:dyDescent="0.2">
      <c r="A1" s="39" t="s">
        <v>201</v>
      </c>
      <c r="B1" s="40"/>
      <c r="C1" s="40"/>
      <c r="D1" s="40"/>
      <c r="E1" s="40"/>
      <c r="F1" s="40"/>
      <c r="G1" s="40"/>
      <c r="H1" s="40"/>
      <c r="I1" s="40"/>
    </row>
    <row r="2" spans="1:9" x14ac:dyDescent="0.2"/>
    <row r="3" spans="1:9" x14ac:dyDescent="0.2">
      <c r="A3" s="41" t="s">
        <v>26</v>
      </c>
      <c r="B3" s="40"/>
      <c r="C3" s="40"/>
      <c r="D3" s="40"/>
      <c r="E3" s="40"/>
      <c r="F3" s="40"/>
      <c r="G3" s="40"/>
      <c r="H3" s="40"/>
      <c r="I3" s="40"/>
    </row>
    <row r="4" spans="1:9" ht="30" x14ac:dyDescent="0.2">
      <c r="A4" s="4" t="s">
        <v>27</v>
      </c>
      <c r="B4" s="4" t="s">
        <v>28</v>
      </c>
      <c r="C4" s="4" t="s">
        <v>29</v>
      </c>
      <c r="D4" s="4" t="s">
        <v>30</v>
      </c>
      <c r="E4" s="4" t="s">
        <v>31</v>
      </c>
      <c r="F4" s="4" t="s">
        <v>32</v>
      </c>
      <c r="G4" s="4" t="s">
        <v>33</v>
      </c>
      <c r="H4" s="4" t="s">
        <v>34</v>
      </c>
      <c r="I4" s="4" t="s">
        <v>35</v>
      </c>
    </row>
    <row r="5" spans="1:9" x14ac:dyDescent="0.2">
      <c r="A5" s="7">
        <v>1</v>
      </c>
      <c r="B5" s="7" t="s">
        <v>202</v>
      </c>
      <c r="C5" s="7" t="s">
        <v>203</v>
      </c>
      <c r="D5" s="7">
        <v>6</v>
      </c>
      <c r="E5" s="7">
        <v>1758</v>
      </c>
      <c r="F5" s="7"/>
      <c r="G5" s="10"/>
      <c r="H5" s="10"/>
      <c r="I5" s="7"/>
    </row>
    <row r="6" spans="1:9" x14ac:dyDescent="0.2"/>
    <row r="7" spans="1:9" x14ac:dyDescent="0.2">
      <c r="A7" s="41" t="s">
        <v>50</v>
      </c>
      <c r="B7" s="40"/>
      <c r="C7" s="40"/>
      <c r="D7" s="40"/>
      <c r="E7" s="40"/>
      <c r="F7" s="40"/>
      <c r="G7" s="40"/>
      <c r="H7" s="40"/>
      <c r="I7" s="40"/>
    </row>
    <row r="8" spans="1:9" ht="30" x14ac:dyDescent="0.2">
      <c r="A8" s="4" t="s">
        <v>51</v>
      </c>
      <c r="B8" s="38" t="s">
        <v>28</v>
      </c>
      <c r="C8" s="36"/>
      <c r="D8" s="4" t="s">
        <v>52</v>
      </c>
      <c r="E8" s="4" t="s">
        <v>33</v>
      </c>
      <c r="F8" s="4" t="s">
        <v>34</v>
      </c>
      <c r="G8" s="4" t="s">
        <v>35</v>
      </c>
    </row>
    <row r="9" spans="1:9" x14ac:dyDescent="0.2">
      <c r="A9" s="28" t="s">
        <v>53</v>
      </c>
      <c r="B9" s="42" t="s">
        <v>202</v>
      </c>
      <c r="C9" s="36"/>
      <c r="D9" s="7"/>
      <c r="E9" s="10"/>
      <c r="F9" s="10"/>
      <c r="G9" s="7"/>
    </row>
    <row r="10" spans="1:9" x14ac:dyDescent="0.2">
      <c r="A10" s="28" t="s">
        <v>54</v>
      </c>
      <c r="B10" s="42" t="s">
        <v>202</v>
      </c>
      <c r="C10" s="36"/>
      <c r="D10" s="7"/>
      <c r="E10" s="10"/>
      <c r="F10" s="10"/>
      <c r="G10" s="7"/>
    </row>
    <row r="11" spans="1:9" x14ac:dyDescent="0.2">
      <c r="A11" s="28" t="s">
        <v>55</v>
      </c>
      <c r="B11" s="42" t="s">
        <v>202</v>
      </c>
      <c r="C11" s="36"/>
      <c r="D11" s="7"/>
      <c r="E11" s="10"/>
      <c r="F11" s="10"/>
      <c r="G11" s="7"/>
    </row>
    <row r="12" spans="1:9" x14ac:dyDescent="0.2">
      <c r="A12" s="28" t="s">
        <v>60</v>
      </c>
      <c r="B12" s="42" t="s">
        <v>202</v>
      </c>
      <c r="C12" s="36"/>
      <c r="D12" s="7"/>
      <c r="E12" s="10"/>
      <c r="F12" s="10"/>
      <c r="G12" s="7"/>
    </row>
    <row r="13" spans="1:9" x14ac:dyDescent="0.2">
      <c r="A13" s="28" t="s">
        <v>61</v>
      </c>
      <c r="B13" s="42" t="s">
        <v>202</v>
      </c>
      <c r="C13" s="36"/>
      <c r="D13" s="7"/>
      <c r="E13" s="10"/>
      <c r="F13" s="10"/>
      <c r="G13" s="7"/>
    </row>
    <row r="14" spans="1:9" x14ac:dyDescent="0.2">
      <c r="A14" s="28" t="s">
        <v>62</v>
      </c>
      <c r="B14" s="42" t="s">
        <v>202</v>
      </c>
      <c r="C14" s="36"/>
      <c r="D14" s="7"/>
      <c r="E14" s="10"/>
      <c r="F14" s="10"/>
      <c r="G14" s="7"/>
    </row>
    <row r="15" spans="1:9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B14:C14"/>
    <mergeCell ref="A3:I3"/>
    <mergeCell ref="B9:C9"/>
    <mergeCell ref="B8:C8"/>
    <mergeCell ref="B12:C12"/>
    <mergeCell ref="B13:C13"/>
    <mergeCell ref="A7:I7"/>
    <mergeCell ref="B11:C11"/>
    <mergeCell ref="B10:C10"/>
    <mergeCell ref="A1:I1"/>
  </mergeCells>
  <conditionalFormatting sqref="E9:E14">
    <cfRule type="expression" dxfId="17" priority="2">
      <formula>AND($E9&lt;&gt;"",COUNTIF($G$5,$E9)+COUNTIF($E$9:$E$14,$E9)&gt;1)</formula>
    </cfRule>
  </conditionalFormatting>
  <conditionalFormatting sqref="G5">
    <cfRule type="expression" dxfId="16" priority="1">
      <formula>AND($G5&lt;&gt;"",COUNTIF($G$5,$G5)+COUNTIF($E$9:$E$14,$G5)&gt;1)</formula>
    </cfRule>
  </conditionalFormatting>
  <pageMargins left="0.75" right="0.75" top="1" bottom="1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000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4.5" defaultRowHeight="15" customHeight="1" x14ac:dyDescent="0.2"/>
  <cols>
    <col min="1" max="1" width="8" customWidth="1"/>
    <col min="2" max="2" width="42" customWidth="1"/>
    <col min="3" max="3" width="35" customWidth="1"/>
    <col min="4" max="5" width="14" customWidth="1"/>
    <col min="6" max="6" width="26" customWidth="1"/>
    <col min="7" max="7" width="12" customWidth="1"/>
    <col min="8" max="8" width="13" customWidth="1"/>
    <col min="9" max="9" width="22" customWidth="1"/>
    <col min="10" max="26" width="8.6640625" customWidth="1"/>
  </cols>
  <sheetData>
    <row r="1" spans="1:9" ht="17" x14ac:dyDescent="0.2">
      <c r="A1" s="39" t="s">
        <v>204</v>
      </c>
      <c r="B1" s="40"/>
      <c r="C1" s="40"/>
      <c r="D1" s="40"/>
      <c r="E1" s="40"/>
      <c r="F1" s="40"/>
      <c r="G1" s="40"/>
      <c r="H1" s="40"/>
      <c r="I1" s="40"/>
    </row>
    <row r="2" spans="1:9" x14ac:dyDescent="0.2"/>
    <row r="3" spans="1:9" x14ac:dyDescent="0.2">
      <c r="A3" s="41" t="s">
        <v>26</v>
      </c>
      <c r="B3" s="40"/>
      <c r="C3" s="40"/>
      <c r="D3" s="40"/>
      <c r="E3" s="40"/>
      <c r="F3" s="40"/>
      <c r="G3" s="40"/>
      <c r="H3" s="40"/>
      <c r="I3" s="40"/>
    </row>
    <row r="4" spans="1:9" ht="30" x14ac:dyDescent="0.2">
      <c r="A4" s="4" t="s">
        <v>27</v>
      </c>
      <c r="B4" s="4" t="s">
        <v>28</v>
      </c>
      <c r="C4" s="4" t="s">
        <v>29</v>
      </c>
      <c r="D4" s="4" t="s">
        <v>30</v>
      </c>
      <c r="E4" s="4" t="s">
        <v>31</v>
      </c>
      <c r="F4" s="4" t="s">
        <v>32</v>
      </c>
      <c r="G4" s="4" t="s">
        <v>33</v>
      </c>
      <c r="H4" s="4" t="s">
        <v>34</v>
      </c>
      <c r="I4" s="4" t="s">
        <v>35</v>
      </c>
    </row>
    <row r="5" spans="1:9" x14ac:dyDescent="0.2">
      <c r="A5" s="7">
        <v>1</v>
      </c>
      <c r="B5" s="7" t="s">
        <v>205</v>
      </c>
      <c r="C5" s="7" t="s">
        <v>206</v>
      </c>
      <c r="D5" s="7">
        <v>8</v>
      </c>
      <c r="E5" s="7">
        <v>2800</v>
      </c>
      <c r="F5" s="7"/>
      <c r="G5" s="10"/>
      <c r="H5" s="10"/>
      <c r="I5" s="7"/>
    </row>
    <row r="6" spans="1:9" x14ac:dyDescent="0.2">
      <c r="A6" s="7">
        <v>2</v>
      </c>
      <c r="B6" s="7" t="s">
        <v>207</v>
      </c>
      <c r="C6" s="7" t="s">
        <v>208</v>
      </c>
      <c r="D6" s="7">
        <v>8</v>
      </c>
      <c r="E6" s="7">
        <v>2800</v>
      </c>
      <c r="F6" s="7"/>
      <c r="G6" s="10"/>
      <c r="H6" s="10"/>
      <c r="I6" s="7"/>
    </row>
    <row r="7" spans="1:9" x14ac:dyDescent="0.2">
      <c r="A7" s="7">
        <v>3</v>
      </c>
      <c r="B7" s="7" t="s">
        <v>209</v>
      </c>
      <c r="C7" s="7" t="s">
        <v>210</v>
      </c>
      <c r="D7" s="7">
        <v>7</v>
      </c>
      <c r="E7" s="7">
        <v>2270</v>
      </c>
      <c r="F7" s="7"/>
      <c r="G7" s="10"/>
      <c r="H7" s="10"/>
      <c r="I7" s="7"/>
    </row>
    <row r="8" spans="1:9" x14ac:dyDescent="0.2"/>
    <row r="9" spans="1:9" x14ac:dyDescent="0.2">
      <c r="A9" s="41" t="s">
        <v>50</v>
      </c>
      <c r="B9" s="40"/>
      <c r="C9" s="40"/>
      <c r="D9" s="40"/>
      <c r="E9" s="40"/>
      <c r="F9" s="40"/>
      <c r="G9" s="40"/>
      <c r="H9" s="40"/>
      <c r="I9" s="40"/>
    </row>
    <row r="10" spans="1:9" ht="30" x14ac:dyDescent="0.2">
      <c r="A10" s="4" t="s">
        <v>51</v>
      </c>
      <c r="B10" s="38" t="s">
        <v>28</v>
      </c>
      <c r="C10" s="36"/>
      <c r="D10" s="4" t="s">
        <v>52</v>
      </c>
      <c r="E10" s="4" t="s">
        <v>33</v>
      </c>
      <c r="F10" s="4" t="s">
        <v>34</v>
      </c>
      <c r="G10" s="4" t="s">
        <v>35</v>
      </c>
    </row>
    <row r="11" spans="1:9" x14ac:dyDescent="0.2">
      <c r="A11" s="28" t="s">
        <v>53</v>
      </c>
      <c r="B11" s="42" t="s">
        <v>205</v>
      </c>
      <c r="C11" s="36"/>
      <c r="D11" s="7"/>
      <c r="E11" s="10"/>
      <c r="F11" s="10"/>
      <c r="G11" s="7"/>
    </row>
    <row r="12" spans="1:9" x14ac:dyDescent="0.2">
      <c r="A12" s="28" t="s">
        <v>54</v>
      </c>
      <c r="B12" s="42" t="s">
        <v>205</v>
      </c>
      <c r="C12" s="36"/>
      <c r="D12" s="7"/>
      <c r="E12" s="10"/>
      <c r="F12" s="10"/>
      <c r="G12" s="7"/>
    </row>
    <row r="13" spans="1:9" x14ac:dyDescent="0.2">
      <c r="A13" s="28" t="s">
        <v>55</v>
      </c>
      <c r="B13" s="42" t="s">
        <v>205</v>
      </c>
      <c r="C13" s="36"/>
      <c r="D13" s="7"/>
      <c r="E13" s="10"/>
      <c r="F13" s="10"/>
      <c r="G13" s="7"/>
    </row>
    <row r="14" spans="1:9" x14ac:dyDescent="0.2">
      <c r="A14" s="28" t="s">
        <v>56</v>
      </c>
      <c r="B14" s="42" t="s">
        <v>205</v>
      </c>
      <c r="C14" s="36"/>
      <c r="D14" s="7"/>
      <c r="E14" s="10"/>
      <c r="F14" s="10"/>
      <c r="G14" s="7"/>
    </row>
    <row r="15" spans="1:9" x14ac:dyDescent="0.2">
      <c r="A15" s="28" t="s">
        <v>60</v>
      </c>
      <c r="B15" s="42" t="s">
        <v>205</v>
      </c>
      <c r="C15" s="36"/>
      <c r="D15" s="7"/>
      <c r="E15" s="10"/>
      <c r="F15" s="10"/>
      <c r="G15" s="7"/>
    </row>
    <row r="16" spans="1:9" x14ac:dyDescent="0.2">
      <c r="A16" s="28" t="s">
        <v>61</v>
      </c>
      <c r="B16" s="42" t="s">
        <v>205</v>
      </c>
      <c r="C16" s="36"/>
      <c r="D16" s="7"/>
      <c r="E16" s="10"/>
      <c r="F16" s="10"/>
      <c r="G16" s="7"/>
    </row>
    <row r="17" spans="1:7" x14ac:dyDescent="0.2">
      <c r="A17" s="28" t="s">
        <v>62</v>
      </c>
      <c r="B17" s="42" t="s">
        <v>205</v>
      </c>
      <c r="C17" s="36"/>
      <c r="D17" s="7"/>
      <c r="E17" s="10"/>
      <c r="F17" s="10"/>
      <c r="G17" s="7"/>
    </row>
    <row r="18" spans="1:7" x14ac:dyDescent="0.2">
      <c r="A18" s="28" t="s">
        <v>63</v>
      </c>
      <c r="B18" s="42" t="s">
        <v>205</v>
      </c>
      <c r="C18" s="36"/>
      <c r="D18" s="7"/>
      <c r="E18" s="10"/>
      <c r="F18" s="10"/>
      <c r="G18" s="7"/>
    </row>
    <row r="19" spans="1:7" x14ac:dyDescent="0.2">
      <c r="A19" s="28" t="s">
        <v>57</v>
      </c>
      <c r="B19" s="42" t="s">
        <v>207</v>
      </c>
      <c r="C19" s="36"/>
      <c r="D19" s="7"/>
      <c r="E19" s="10"/>
      <c r="F19" s="10"/>
      <c r="G19" s="7"/>
    </row>
    <row r="20" spans="1:7" x14ac:dyDescent="0.2">
      <c r="A20" s="28" t="s">
        <v>58</v>
      </c>
      <c r="B20" s="42" t="s">
        <v>207</v>
      </c>
      <c r="C20" s="36"/>
      <c r="D20" s="7"/>
      <c r="E20" s="10"/>
      <c r="F20" s="10"/>
      <c r="G20" s="7"/>
    </row>
    <row r="21" spans="1:7" ht="15.75" customHeight="1" x14ac:dyDescent="0.2">
      <c r="A21" s="28" t="s">
        <v>59</v>
      </c>
      <c r="B21" s="42" t="s">
        <v>207</v>
      </c>
      <c r="C21" s="36"/>
      <c r="D21" s="7"/>
      <c r="E21" s="10"/>
      <c r="F21" s="10"/>
      <c r="G21" s="7"/>
    </row>
    <row r="22" spans="1:7" ht="15.75" customHeight="1" x14ac:dyDescent="0.2">
      <c r="A22" s="28" t="s">
        <v>65</v>
      </c>
      <c r="B22" s="42" t="s">
        <v>207</v>
      </c>
      <c r="C22" s="36"/>
      <c r="D22" s="7"/>
      <c r="E22" s="10"/>
      <c r="F22" s="10"/>
      <c r="G22" s="7"/>
    </row>
    <row r="23" spans="1:7" ht="15.75" customHeight="1" x14ac:dyDescent="0.2">
      <c r="A23" s="28" t="s">
        <v>64</v>
      </c>
      <c r="B23" s="42" t="s">
        <v>207</v>
      </c>
      <c r="C23" s="36"/>
      <c r="D23" s="7"/>
      <c r="E23" s="10"/>
      <c r="F23" s="10"/>
      <c r="G23" s="7"/>
    </row>
    <row r="24" spans="1:7" ht="15.75" customHeight="1" x14ac:dyDescent="0.2">
      <c r="A24" s="28" t="s">
        <v>71</v>
      </c>
      <c r="B24" s="42" t="s">
        <v>207</v>
      </c>
      <c r="C24" s="36"/>
      <c r="D24" s="7"/>
      <c r="E24" s="10"/>
      <c r="F24" s="10"/>
      <c r="G24" s="7"/>
    </row>
    <row r="25" spans="1:7" ht="15.75" customHeight="1" x14ac:dyDescent="0.2">
      <c r="A25" s="28" t="s">
        <v>72</v>
      </c>
      <c r="B25" s="42" t="s">
        <v>207</v>
      </c>
      <c r="C25" s="36"/>
      <c r="D25" s="7"/>
      <c r="E25" s="10"/>
      <c r="F25" s="10"/>
      <c r="G25" s="7"/>
    </row>
    <row r="26" spans="1:7" ht="15.75" customHeight="1" x14ac:dyDescent="0.2">
      <c r="A26" s="28" t="s">
        <v>73</v>
      </c>
      <c r="B26" s="42" t="s">
        <v>207</v>
      </c>
      <c r="C26" s="36"/>
      <c r="D26" s="7"/>
      <c r="E26" s="10"/>
      <c r="F26" s="10"/>
      <c r="G26" s="7"/>
    </row>
    <row r="27" spans="1:7" ht="15.75" customHeight="1" x14ac:dyDescent="0.2">
      <c r="A27" s="28" t="s">
        <v>66</v>
      </c>
      <c r="B27" s="42" t="s">
        <v>209</v>
      </c>
      <c r="C27" s="36"/>
      <c r="D27" s="7"/>
      <c r="E27" s="10"/>
      <c r="F27" s="10"/>
      <c r="G27" s="7"/>
    </row>
    <row r="28" spans="1:7" ht="15.75" customHeight="1" x14ac:dyDescent="0.2">
      <c r="A28" s="28" t="s">
        <v>67</v>
      </c>
      <c r="B28" s="42" t="s">
        <v>209</v>
      </c>
      <c r="C28" s="36"/>
      <c r="D28" s="7"/>
      <c r="E28" s="10"/>
      <c r="F28" s="10"/>
      <c r="G28" s="7"/>
    </row>
    <row r="29" spans="1:7" ht="15.75" customHeight="1" x14ac:dyDescent="0.2">
      <c r="A29" s="28" t="s">
        <v>68</v>
      </c>
      <c r="B29" s="42" t="s">
        <v>209</v>
      </c>
      <c r="C29" s="36"/>
      <c r="D29" s="7"/>
      <c r="E29" s="10"/>
      <c r="F29" s="10"/>
      <c r="G29" s="7"/>
    </row>
    <row r="30" spans="1:7" ht="15.75" customHeight="1" x14ac:dyDescent="0.2">
      <c r="A30" s="28" t="s">
        <v>69</v>
      </c>
      <c r="B30" s="42" t="s">
        <v>209</v>
      </c>
      <c r="C30" s="36"/>
      <c r="D30" s="7"/>
      <c r="E30" s="10"/>
      <c r="F30" s="10"/>
      <c r="G30" s="7"/>
    </row>
    <row r="31" spans="1:7" ht="15.75" customHeight="1" x14ac:dyDescent="0.2">
      <c r="A31" s="28" t="s">
        <v>74</v>
      </c>
      <c r="B31" s="42" t="s">
        <v>209</v>
      </c>
      <c r="C31" s="36"/>
      <c r="D31" s="7"/>
      <c r="E31" s="10"/>
      <c r="F31" s="10"/>
      <c r="G31" s="7"/>
    </row>
    <row r="32" spans="1:7" ht="15.75" customHeight="1" x14ac:dyDescent="0.2">
      <c r="A32" s="28" t="s">
        <v>75</v>
      </c>
      <c r="B32" s="42" t="s">
        <v>209</v>
      </c>
      <c r="C32" s="36"/>
      <c r="D32" s="7"/>
      <c r="E32" s="10"/>
      <c r="F32" s="10"/>
      <c r="G32" s="7"/>
    </row>
    <row r="33" spans="1:7" ht="15.75" customHeight="1" x14ac:dyDescent="0.2">
      <c r="A33" s="28" t="s">
        <v>76</v>
      </c>
      <c r="B33" s="42" t="s">
        <v>209</v>
      </c>
      <c r="C33" s="36"/>
      <c r="D33" s="7"/>
      <c r="E33" s="10"/>
      <c r="F33" s="10"/>
      <c r="G33" s="7"/>
    </row>
    <row r="34" spans="1:7" ht="15.75" customHeight="1" x14ac:dyDescent="0.2"/>
    <row r="35" spans="1:7" ht="15.75" customHeight="1" x14ac:dyDescent="0.2"/>
    <row r="36" spans="1:7" ht="15.75" customHeight="1" x14ac:dyDescent="0.2"/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7">
    <mergeCell ref="B33:C33"/>
    <mergeCell ref="B20:C20"/>
    <mergeCell ref="A1:I1"/>
    <mergeCell ref="B32:C32"/>
    <mergeCell ref="B26:C26"/>
    <mergeCell ref="B10:C10"/>
    <mergeCell ref="B28:C28"/>
    <mergeCell ref="A9:I9"/>
    <mergeCell ref="B24:C24"/>
    <mergeCell ref="B30:C30"/>
    <mergeCell ref="B15:C15"/>
    <mergeCell ref="B16:C16"/>
    <mergeCell ref="B25:C25"/>
    <mergeCell ref="B22:C22"/>
    <mergeCell ref="A3:I3"/>
    <mergeCell ref="B31:C31"/>
    <mergeCell ref="B18:C18"/>
    <mergeCell ref="B27:C27"/>
    <mergeCell ref="B12:C12"/>
    <mergeCell ref="B21:C21"/>
    <mergeCell ref="B11:C11"/>
    <mergeCell ref="B23:C23"/>
    <mergeCell ref="B14:C14"/>
    <mergeCell ref="B17:C17"/>
    <mergeCell ref="B13:C13"/>
    <mergeCell ref="B29:C29"/>
    <mergeCell ref="B19:C19"/>
  </mergeCells>
  <conditionalFormatting sqref="E11:E33">
    <cfRule type="expression" dxfId="15" priority="2">
      <formula>AND($E11&lt;&gt;"",COUNTIF($G$5:$G$7,$E11)+COUNTIF($E$11:$E$33,$E11)&gt;1)</formula>
    </cfRule>
  </conditionalFormatting>
  <conditionalFormatting sqref="G5:G7">
    <cfRule type="expression" dxfId="14" priority="1">
      <formula>AND($G5&lt;&gt;"",COUNTIF($G$5:$G$7,$G5)+COUNTIF($E$11:$E$33,$G5)&gt;1)</formula>
    </cfRule>
  </conditionalFormatting>
  <pageMargins left="0.75" right="0.75" top="1" bottom="1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000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4.5" defaultRowHeight="15" customHeight="1" x14ac:dyDescent="0.2"/>
  <cols>
    <col min="1" max="1" width="8" customWidth="1"/>
    <col min="2" max="2" width="42" customWidth="1"/>
    <col min="3" max="3" width="35" customWidth="1"/>
    <col min="4" max="5" width="14" customWidth="1"/>
    <col min="6" max="6" width="26" customWidth="1"/>
    <col min="7" max="7" width="12" customWidth="1"/>
    <col min="8" max="8" width="13" customWidth="1"/>
    <col min="9" max="9" width="22" customWidth="1"/>
    <col min="10" max="26" width="8.6640625" customWidth="1"/>
  </cols>
  <sheetData>
    <row r="1" spans="1:9" ht="17" x14ac:dyDescent="0.2">
      <c r="A1" s="39" t="s">
        <v>211</v>
      </c>
      <c r="B1" s="40"/>
      <c r="C1" s="40"/>
      <c r="D1" s="40"/>
      <c r="E1" s="40"/>
      <c r="F1" s="40"/>
      <c r="G1" s="40"/>
      <c r="H1" s="40"/>
      <c r="I1" s="40"/>
    </row>
    <row r="2" spans="1:9" x14ac:dyDescent="0.2"/>
    <row r="3" spans="1:9" x14ac:dyDescent="0.2">
      <c r="A3" s="41" t="s">
        <v>26</v>
      </c>
      <c r="B3" s="40"/>
      <c r="C3" s="40"/>
      <c r="D3" s="40"/>
      <c r="E3" s="40"/>
      <c r="F3" s="40"/>
      <c r="G3" s="40"/>
      <c r="H3" s="40"/>
      <c r="I3" s="40"/>
    </row>
    <row r="4" spans="1:9" ht="30" x14ac:dyDescent="0.2">
      <c r="A4" s="4" t="s">
        <v>27</v>
      </c>
      <c r="B4" s="4" t="s">
        <v>28</v>
      </c>
      <c r="C4" s="4" t="s">
        <v>29</v>
      </c>
      <c r="D4" s="4" t="s">
        <v>30</v>
      </c>
      <c r="E4" s="4" t="s">
        <v>31</v>
      </c>
      <c r="F4" s="4" t="s">
        <v>32</v>
      </c>
      <c r="G4" s="4" t="s">
        <v>33</v>
      </c>
      <c r="H4" s="4" t="s">
        <v>34</v>
      </c>
      <c r="I4" s="4" t="s">
        <v>35</v>
      </c>
    </row>
    <row r="5" spans="1:9" x14ac:dyDescent="0.2">
      <c r="A5" s="7">
        <v>1</v>
      </c>
      <c r="B5" s="7" t="s">
        <v>212</v>
      </c>
      <c r="C5" s="7" t="s">
        <v>213</v>
      </c>
      <c r="D5" s="7">
        <v>7</v>
      </c>
      <c r="E5" s="7">
        <v>2145</v>
      </c>
      <c r="F5" s="7"/>
      <c r="G5" s="10"/>
      <c r="H5" s="10"/>
      <c r="I5" s="7"/>
    </row>
    <row r="6" spans="1:9" x14ac:dyDescent="0.2"/>
    <row r="7" spans="1:9" x14ac:dyDescent="0.2">
      <c r="A7" s="41" t="s">
        <v>50</v>
      </c>
      <c r="B7" s="40"/>
      <c r="C7" s="40"/>
      <c r="D7" s="40"/>
      <c r="E7" s="40"/>
      <c r="F7" s="40"/>
      <c r="G7" s="40"/>
      <c r="H7" s="40"/>
      <c r="I7" s="40"/>
    </row>
    <row r="8" spans="1:9" ht="30" x14ac:dyDescent="0.2">
      <c r="A8" s="4" t="s">
        <v>51</v>
      </c>
      <c r="B8" s="38" t="s">
        <v>28</v>
      </c>
      <c r="C8" s="36"/>
      <c r="D8" s="4" t="s">
        <v>52</v>
      </c>
      <c r="E8" s="4" t="s">
        <v>33</v>
      </c>
      <c r="F8" s="4" t="s">
        <v>34</v>
      </c>
      <c r="G8" s="4" t="s">
        <v>35</v>
      </c>
    </row>
    <row r="9" spans="1:9" x14ac:dyDescent="0.2">
      <c r="A9" s="28" t="s">
        <v>53</v>
      </c>
      <c r="B9" s="42" t="s">
        <v>212</v>
      </c>
      <c r="C9" s="36"/>
      <c r="D9" s="7"/>
      <c r="E9" s="10"/>
      <c r="F9" s="10"/>
      <c r="G9" s="7"/>
    </row>
    <row r="10" spans="1:9" x14ac:dyDescent="0.2">
      <c r="A10" s="28" t="s">
        <v>54</v>
      </c>
      <c r="B10" s="42" t="s">
        <v>212</v>
      </c>
      <c r="C10" s="36"/>
      <c r="D10" s="7"/>
      <c r="E10" s="10"/>
      <c r="F10" s="10"/>
      <c r="G10" s="7"/>
    </row>
    <row r="11" spans="1:9" x14ac:dyDescent="0.2">
      <c r="A11" s="28" t="s">
        <v>55</v>
      </c>
      <c r="B11" s="42" t="s">
        <v>212</v>
      </c>
      <c r="C11" s="36"/>
      <c r="D11" s="7"/>
      <c r="E11" s="10"/>
      <c r="F11" s="10"/>
      <c r="G11" s="7"/>
    </row>
    <row r="12" spans="1:9" x14ac:dyDescent="0.2">
      <c r="A12" s="28" t="s">
        <v>56</v>
      </c>
      <c r="B12" s="42" t="s">
        <v>212</v>
      </c>
      <c r="C12" s="36"/>
      <c r="D12" s="7"/>
      <c r="E12" s="10"/>
      <c r="F12" s="10"/>
      <c r="G12" s="7"/>
    </row>
    <row r="13" spans="1:9" x14ac:dyDescent="0.2">
      <c r="A13" s="28" t="s">
        <v>60</v>
      </c>
      <c r="B13" s="42" t="s">
        <v>212</v>
      </c>
      <c r="C13" s="36"/>
      <c r="D13" s="7"/>
      <c r="E13" s="10"/>
      <c r="F13" s="10"/>
      <c r="G13" s="7"/>
    </row>
    <row r="14" spans="1:9" x14ac:dyDescent="0.2">
      <c r="A14" s="28" t="s">
        <v>61</v>
      </c>
      <c r="B14" s="42" t="s">
        <v>212</v>
      </c>
      <c r="C14" s="36"/>
      <c r="D14" s="7"/>
      <c r="E14" s="10"/>
      <c r="F14" s="10"/>
      <c r="G14" s="7"/>
    </row>
    <row r="15" spans="1:9" x14ac:dyDescent="0.2">
      <c r="A15" s="28" t="s">
        <v>62</v>
      </c>
      <c r="B15" s="42" t="s">
        <v>212</v>
      </c>
      <c r="C15" s="36"/>
      <c r="D15" s="7"/>
      <c r="E15" s="10"/>
      <c r="F15" s="10"/>
      <c r="G15" s="7"/>
    </row>
    <row r="16" spans="1:9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1">
    <mergeCell ref="A1:I1"/>
    <mergeCell ref="B14:C14"/>
    <mergeCell ref="A3:I3"/>
    <mergeCell ref="B9:C9"/>
    <mergeCell ref="B8:C8"/>
    <mergeCell ref="B12:C12"/>
    <mergeCell ref="B13:C13"/>
    <mergeCell ref="A7:I7"/>
    <mergeCell ref="B15:C15"/>
    <mergeCell ref="B11:C11"/>
    <mergeCell ref="B10:C10"/>
  </mergeCells>
  <conditionalFormatting sqref="E9:E15">
    <cfRule type="expression" dxfId="13" priority="2">
      <formula>AND($E9&lt;&gt;"",COUNTIF($G$5,$E9)+COUNTIF($E$9:$E$15,$E9)&gt;1)</formula>
    </cfRule>
  </conditionalFormatting>
  <conditionalFormatting sqref="G5">
    <cfRule type="expression" dxfId="12" priority="1">
      <formula>AND($G5&lt;&gt;"",COUNTIF($G$5,$G5)+COUNTIF($E$9:$E$15,$G5)&gt;1)</formula>
    </cfRule>
  </conditionalFormatting>
  <pageMargins left="0.75" right="0.75" top="1" bottom="1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000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4.5" defaultRowHeight="15" customHeight="1" x14ac:dyDescent="0.2"/>
  <cols>
    <col min="1" max="1" width="8" customWidth="1"/>
    <col min="2" max="2" width="42" customWidth="1"/>
    <col min="3" max="3" width="35" customWidth="1"/>
    <col min="4" max="5" width="14" customWidth="1"/>
    <col min="6" max="6" width="26" customWidth="1"/>
    <col min="7" max="7" width="12" customWidth="1"/>
    <col min="8" max="8" width="13" customWidth="1"/>
    <col min="9" max="9" width="22" customWidth="1"/>
    <col min="10" max="26" width="8.6640625" customWidth="1"/>
  </cols>
  <sheetData>
    <row r="1" spans="1:9" ht="17" x14ac:dyDescent="0.2">
      <c r="A1" s="39" t="s">
        <v>214</v>
      </c>
      <c r="B1" s="40"/>
      <c r="C1" s="40"/>
      <c r="D1" s="40"/>
      <c r="E1" s="40"/>
      <c r="F1" s="40"/>
      <c r="G1" s="40"/>
      <c r="H1" s="40"/>
      <c r="I1" s="40"/>
    </row>
    <row r="2" spans="1:9" x14ac:dyDescent="0.2"/>
    <row r="3" spans="1:9" x14ac:dyDescent="0.2">
      <c r="A3" s="41" t="s">
        <v>26</v>
      </c>
      <c r="B3" s="40"/>
      <c r="C3" s="40"/>
      <c r="D3" s="40"/>
      <c r="E3" s="40"/>
      <c r="F3" s="40"/>
      <c r="G3" s="40"/>
      <c r="H3" s="40"/>
      <c r="I3" s="40"/>
    </row>
    <row r="4" spans="1:9" ht="30" x14ac:dyDescent="0.2">
      <c r="A4" s="4" t="s">
        <v>27</v>
      </c>
      <c r="B4" s="4" t="s">
        <v>28</v>
      </c>
      <c r="C4" s="4" t="s">
        <v>29</v>
      </c>
      <c r="D4" s="4" t="s">
        <v>30</v>
      </c>
      <c r="E4" s="4" t="s">
        <v>31</v>
      </c>
      <c r="F4" s="4" t="s">
        <v>32</v>
      </c>
      <c r="G4" s="4" t="s">
        <v>33</v>
      </c>
      <c r="H4" s="4" t="s">
        <v>34</v>
      </c>
      <c r="I4" s="4" t="s">
        <v>35</v>
      </c>
    </row>
    <row r="5" spans="1:9" x14ac:dyDescent="0.2">
      <c r="A5" s="7">
        <v>1</v>
      </c>
      <c r="B5" s="7" t="s">
        <v>215</v>
      </c>
      <c r="C5" s="7" t="s">
        <v>216</v>
      </c>
      <c r="D5" s="7">
        <v>4</v>
      </c>
      <c r="E5" s="7">
        <v>1400</v>
      </c>
      <c r="F5" s="7"/>
      <c r="G5" s="10"/>
      <c r="H5" s="10"/>
      <c r="I5" s="7"/>
    </row>
    <row r="6" spans="1:9" x14ac:dyDescent="0.2">
      <c r="A6" s="7">
        <v>2</v>
      </c>
      <c r="B6" s="7" t="s">
        <v>217</v>
      </c>
      <c r="C6" s="7" t="s">
        <v>218</v>
      </c>
      <c r="D6" s="7">
        <v>11</v>
      </c>
      <c r="E6" s="7">
        <v>3641</v>
      </c>
      <c r="F6" s="7"/>
      <c r="G6" s="10"/>
      <c r="H6" s="10"/>
      <c r="I6" s="7"/>
    </row>
    <row r="7" spans="1:9" x14ac:dyDescent="0.2"/>
    <row r="8" spans="1:9" x14ac:dyDescent="0.2">
      <c r="A8" s="41" t="s">
        <v>50</v>
      </c>
      <c r="B8" s="40"/>
      <c r="C8" s="40"/>
      <c r="D8" s="40"/>
      <c r="E8" s="40"/>
      <c r="F8" s="40"/>
      <c r="G8" s="40"/>
      <c r="H8" s="40"/>
      <c r="I8" s="40"/>
    </row>
    <row r="9" spans="1:9" ht="30" x14ac:dyDescent="0.2">
      <c r="A9" s="4" t="s">
        <v>51</v>
      </c>
      <c r="B9" s="38" t="s">
        <v>28</v>
      </c>
      <c r="C9" s="36"/>
      <c r="D9" s="4" t="s">
        <v>52</v>
      </c>
      <c r="E9" s="4" t="s">
        <v>33</v>
      </c>
      <c r="F9" s="4" t="s">
        <v>34</v>
      </c>
      <c r="G9" s="4" t="s">
        <v>35</v>
      </c>
    </row>
    <row r="10" spans="1:9" x14ac:dyDescent="0.2">
      <c r="A10" s="28" t="s">
        <v>53</v>
      </c>
      <c r="B10" s="42" t="s">
        <v>215</v>
      </c>
      <c r="C10" s="36"/>
      <c r="D10" s="7"/>
      <c r="E10" s="10"/>
      <c r="F10" s="10"/>
      <c r="G10" s="7"/>
    </row>
    <row r="11" spans="1:9" x14ac:dyDescent="0.2">
      <c r="A11" s="28" t="s">
        <v>54</v>
      </c>
      <c r="B11" s="42" t="s">
        <v>215</v>
      </c>
      <c r="C11" s="36"/>
      <c r="D11" s="7"/>
      <c r="E11" s="10"/>
      <c r="F11" s="10"/>
      <c r="G11" s="7"/>
    </row>
    <row r="12" spans="1:9" x14ac:dyDescent="0.2">
      <c r="A12" s="28" t="s">
        <v>60</v>
      </c>
      <c r="B12" s="42" t="s">
        <v>215</v>
      </c>
      <c r="C12" s="36"/>
      <c r="D12" s="7"/>
      <c r="E12" s="10"/>
      <c r="F12" s="10"/>
      <c r="G12" s="7"/>
    </row>
    <row r="13" spans="1:9" x14ac:dyDescent="0.2">
      <c r="A13" s="28" t="s">
        <v>61</v>
      </c>
      <c r="B13" s="42" t="s">
        <v>215</v>
      </c>
      <c r="C13" s="36"/>
      <c r="D13" s="7"/>
      <c r="E13" s="10"/>
      <c r="F13" s="10"/>
      <c r="G13" s="7"/>
    </row>
    <row r="14" spans="1:9" x14ac:dyDescent="0.2">
      <c r="A14" s="28" t="s">
        <v>55</v>
      </c>
      <c r="B14" s="42" t="s">
        <v>217</v>
      </c>
      <c r="C14" s="36"/>
      <c r="D14" s="7"/>
      <c r="E14" s="10"/>
      <c r="F14" s="10"/>
      <c r="G14" s="7"/>
    </row>
    <row r="15" spans="1:9" x14ac:dyDescent="0.2">
      <c r="A15" s="28" t="s">
        <v>56</v>
      </c>
      <c r="B15" s="42" t="s">
        <v>217</v>
      </c>
      <c r="C15" s="36"/>
      <c r="D15" s="7"/>
      <c r="E15" s="10"/>
      <c r="F15" s="10"/>
      <c r="G15" s="7"/>
    </row>
    <row r="16" spans="1:9" x14ac:dyDescent="0.2">
      <c r="A16" s="28" t="s">
        <v>57</v>
      </c>
      <c r="B16" s="42" t="s">
        <v>217</v>
      </c>
      <c r="C16" s="36"/>
      <c r="D16" s="7"/>
      <c r="E16" s="10"/>
      <c r="F16" s="10"/>
      <c r="G16" s="7"/>
    </row>
    <row r="17" spans="1:7" x14ac:dyDescent="0.2">
      <c r="A17" s="28" t="s">
        <v>58</v>
      </c>
      <c r="B17" s="42" t="s">
        <v>217</v>
      </c>
      <c r="C17" s="36"/>
      <c r="D17" s="7"/>
      <c r="E17" s="10"/>
      <c r="F17" s="10"/>
      <c r="G17" s="7"/>
    </row>
    <row r="18" spans="1:7" x14ac:dyDescent="0.2">
      <c r="A18" s="28" t="s">
        <v>59</v>
      </c>
      <c r="B18" s="42" t="s">
        <v>217</v>
      </c>
      <c r="C18" s="36"/>
      <c r="D18" s="7"/>
      <c r="E18" s="10"/>
      <c r="F18" s="10"/>
      <c r="G18" s="7"/>
    </row>
    <row r="19" spans="1:7" x14ac:dyDescent="0.2">
      <c r="A19" s="28" t="s">
        <v>65</v>
      </c>
      <c r="B19" s="42" t="s">
        <v>217</v>
      </c>
      <c r="C19" s="36"/>
      <c r="D19" s="7"/>
      <c r="E19" s="10"/>
      <c r="F19" s="10"/>
      <c r="G19" s="7"/>
    </row>
    <row r="20" spans="1:7" x14ac:dyDescent="0.2">
      <c r="A20" s="28" t="s">
        <v>62</v>
      </c>
      <c r="B20" s="42" t="s">
        <v>217</v>
      </c>
      <c r="C20" s="36"/>
      <c r="D20" s="7"/>
      <c r="E20" s="10"/>
      <c r="F20" s="10"/>
      <c r="G20" s="7"/>
    </row>
    <row r="21" spans="1:7" ht="15.75" customHeight="1" x14ac:dyDescent="0.2">
      <c r="A21" s="28" t="s">
        <v>63</v>
      </c>
      <c r="B21" s="42" t="s">
        <v>217</v>
      </c>
      <c r="C21" s="36"/>
      <c r="D21" s="7"/>
      <c r="E21" s="10"/>
      <c r="F21" s="10"/>
      <c r="G21" s="7"/>
    </row>
    <row r="22" spans="1:7" ht="15.75" customHeight="1" x14ac:dyDescent="0.2">
      <c r="A22" s="28" t="s">
        <v>64</v>
      </c>
      <c r="B22" s="42" t="s">
        <v>217</v>
      </c>
      <c r="C22" s="36"/>
      <c r="D22" s="7"/>
      <c r="E22" s="10"/>
      <c r="F22" s="10"/>
      <c r="G22" s="7"/>
    </row>
    <row r="23" spans="1:7" ht="15.75" customHeight="1" x14ac:dyDescent="0.2">
      <c r="A23" s="28" t="s">
        <v>71</v>
      </c>
      <c r="B23" s="42" t="s">
        <v>217</v>
      </c>
      <c r="C23" s="36"/>
      <c r="D23" s="7"/>
      <c r="E23" s="10"/>
      <c r="F23" s="10"/>
      <c r="G23" s="7"/>
    </row>
    <row r="24" spans="1:7" ht="15.75" customHeight="1" x14ac:dyDescent="0.2">
      <c r="A24" s="28" t="s">
        <v>72</v>
      </c>
      <c r="B24" s="42" t="s">
        <v>217</v>
      </c>
      <c r="C24" s="36"/>
      <c r="D24" s="7"/>
      <c r="E24" s="10"/>
      <c r="F24" s="10"/>
      <c r="G24" s="7"/>
    </row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B24:C24"/>
    <mergeCell ref="B15:C15"/>
    <mergeCell ref="B20:C20"/>
    <mergeCell ref="A1:I1"/>
    <mergeCell ref="B23:C23"/>
    <mergeCell ref="B14:C14"/>
    <mergeCell ref="A8:I8"/>
    <mergeCell ref="B17:C17"/>
    <mergeCell ref="B13:C13"/>
    <mergeCell ref="B19:C19"/>
    <mergeCell ref="B10:C10"/>
    <mergeCell ref="B9:C9"/>
    <mergeCell ref="B16:C16"/>
    <mergeCell ref="B22:C22"/>
    <mergeCell ref="A3:I3"/>
    <mergeCell ref="B18:C18"/>
    <mergeCell ref="B12:C12"/>
    <mergeCell ref="B21:C21"/>
    <mergeCell ref="B11:C11"/>
  </mergeCells>
  <conditionalFormatting sqref="E10:E24">
    <cfRule type="expression" dxfId="11" priority="2">
      <formula>AND($E10&lt;&gt;"",COUNTIF($G$5:$G$6,$E10)+COUNTIF($E$10:$E$24,$E10)&gt;1)</formula>
    </cfRule>
  </conditionalFormatting>
  <conditionalFormatting sqref="G5:G6">
    <cfRule type="expression" dxfId="10" priority="1">
      <formula>AND($G5&lt;&gt;"",COUNTIF($G$5:$G$6,$G5)+COUNTIF($E$10:$E$24,$G5)&gt;1)</formula>
    </cfRule>
  </conditionalFormatting>
  <pageMargins left="0.75" right="0.75" top="1" bottom="1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000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4.5" defaultRowHeight="15" customHeight="1" x14ac:dyDescent="0.2"/>
  <cols>
    <col min="1" max="1" width="8" customWidth="1"/>
    <col min="2" max="2" width="42" customWidth="1"/>
    <col min="3" max="3" width="35" customWidth="1"/>
    <col min="4" max="5" width="14" customWidth="1"/>
    <col min="6" max="6" width="26" customWidth="1"/>
    <col min="7" max="7" width="12" customWidth="1"/>
    <col min="8" max="8" width="13" customWidth="1"/>
    <col min="9" max="9" width="22" customWidth="1"/>
    <col min="10" max="26" width="8.6640625" customWidth="1"/>
  </cols>
  <sheetData>
    <row r="1" spans="1:9" ht="17" x14ac:dyDescent="0.2">
      <c r="A1" s="39" t="s">
        <v>219</v>
      </c>
      <c r="B1" s="40"/>
      <c r="C1" s="40"/>
      <c r="D1" s="40"/>
      <c r="E1" s="40"/>
      <c r="F1" s="40"/>
      <c r="G1" s="40"/>
      <c r="H1" s="40"/>
      <c r="I1" s="40"/>
    </row>
    <row r="2" spans="1:9" x14ac:dyDescent="0.2"/>
    <row r="3" spans="1:9" x14ac:dyDescent="0.2">
      <c r="A3" s="41" t="s">
        <v>26</v>
      </c>
      <c r="B3" s="40"/>
      <c r="C3" s="40"/>
      <c r="D3" s="40"/>
      <c r="E3" s="40"/>
      <c r="F3" s="40"/>
      <c r="G3" s="40"/>
      <c r="H3" s="40"/>
      <c r="I3" s="40"/>
    </row>
    <row r="4" spans="1:9" ht="30" x14ac:dyDescent="0.2">
      <c r="A4" s="4" t="s">
        <v>27</v>
      </c>
      <c r="B4" s="4" t="s">
        <v>28</v>
      </c>
      <c r="C4" s="4" t="s">
        <v>29</v>
      </c>
      <c r="D4" s="4" t="s">
        <v>30</v>
      </c>
      <c r="E4" s="4" t="s">
        <v>31</v>
      </c>
      <c r="F4" s="4" t="s">
        <v>32</v>
      </c>
      <c r="G4" s="4" t="s">
        <v>33</v>
      </c>
      <c r="H4" s="4" t="s">
        <v>34</v>
      </c>
      <c r="I4" s="4" t="s">
        <v>35</v>
      </c>
    </row>
    <row r="5" spans="1:9" x14ac:dyDescent="0.2">
      <c r="A5" s="7">
        <v>1</v>
      </c>
      <c r="B5" s="7" t="s">
        <v>220</v>
      </c>
      <c r="C5" s="7" t="s">
        <v>221</v>
      </c>
      <c r="D5" s="7">
        <v>8</v>
      </c>
      <c r="E5" s="7">
        <v>2800</v>
      </c>
      <c r="F5" s="7"/>
      <c r="G5" s="10"/>
      <c r="H5" s="10"/>
      <c r="I5" s="7"/>
    </row>
    <row r="6" spans="1:9" x14ac:dyDescent="0.2">
      <c r="A6" s="7">
        <v>2</v>
      </c>
      <c r="B6" s="7" t="s">
        <v>222</v>
      </c>
      <c r="C6" s="7" t="s">
        <v>223</v>
      </c>
      <c r="D6" s="7">
        <v>9</v>
      </c>
      <c r="E6" s="7">
        <v>3150</v>
      </c>
      <c r="F6" s="7"/>
      <c r="G6" s="10"/>
      <c r="H6" s="10"/>
      <c r="I6" s="7"/>
    </row>
    <row r="7" spans="1:9" x14ac:dyDescent="0.2">
      <c r="A7" s="7">
        <v>3</v>
      </c>
      <c r="B7" s="7" t="s">
        <v>224</v>
      </c>
      <c r="C7" s="7" t="s">
        <v>225</v>
      </c>
      <c r="D7" s="7">
        <v>10</v>
      </c>
      <c r="E7" s="7">
        <v>3371</v>
      </c>
      <c r="F7" s="7"/>
      <c r="G7" s="10"/>
      <c r="H7" s="10"/>
      <c r="I7" s="7"/>
    </row>
    <row r="8" spans="1:9" x14ac:dyDescent="0.2">
      <c r="A8" s="7">
        <v>4</v>
      </c>
      <c r="B8" s="7" t="s">
        <v>226</v>
      </c>
      <c r="C8" s="7" t="s">
        <v>227</v>
      </c>
      <c r="D8" s="7">
        <v>2</v>
      </c>
      <c r="E8" s="7">
        <v>327</v>
      </c>
      <c r="F8" s="7"/>
      <c r="G8" s="10"/>
      <c r="H8" s="10"/>
      <c r="I8" s="7"/>
    </row>
    <row r="9" spans="1:9" x14ac:dyDescent="0.2"/>
    <row r="10" spans="1:9" x14ac:dyDescent="0.2">
      <c r="A10" s="41" t="s">
        <v>50</v>
      </c>
      <c r="B10" s="40"/>
      <c r="C10" s="40"/>
      <c r="D10" s="40"/>
      <c r="E10" s="40"/>
      <c r="F10" s="40"/>
      <c r="G10" s="40"/>
      <c r="H10" s="40"/>
      <c r="I10" s="40"/>
    </row>
    <row r="11" spans="1:9" ht="30" x14ac:dyDescent="0.2">
      <c r="A11" s="4" t="s">
        <v>51</v>
      </c>
      <c r="B11" s="38" t="s">
        <v>28</v>
      </c>
      <c r="C11" s="36"/>
      <c r="D11" s="4" t="s">
        <v>52</v>
      </c>
      <c r="E11" s="4" t="s">
        <v>33</v>
      </c>
      <c r="F11" s="4" t="s">
        <v>34</v>
      </c>
      <c r="G11" s="4" t="s">
        <v>35</v>
      </c>
    </row>
    <row r="12" spans="1:9" x14ac:dyDescent="0.2">
      <c r="A12" s="28" t="s">
        <v>53</v>
      </c>
      <c r="B12" s="42" t="s">
        <v>220</v>
      </c>
      <c r="C12" s="36"/>
      <c r="D12" s="7"/>
      <c r="E12" s="10"/>
      <c r="F12" s="10"/>
      <c r="G12" s="7"/>
    </row>
    <row r="13" spans="1:9" x14ac:dyDescent="0.2">
      <c r="A13" s="28" t="s">
        <v>54</v>
      </c>
      <c r="B13" s="42" t="s">
        <v>220</v>
      </c>
      <c r="C13" s="36"/>
      <c r="D13" s="7"/>
      <c r="E13" s="10"/>
      <c r="F13" s="10"/>
      <c r="G13" s="7"/>
    </row>
    <row r="14" spans="1:9" x14ac:dyDescent="0.2">
      <c r="A14" s="28" t="s">
        <v>55</v>
      </c>
      <c r="B14" s="42" t="s">
        <v>220</v>
      </c>
      <c r="C14" s="36"/>
      <c r="D14" s="7"/>
      <c r="E14" s="10"/>
      <c r="F14" s="10"/>
      <c r="G14" s="7"/>
    </row>
    <row r="15" spans="1:9" x14ac:dyDescent="0.2">
      <c r="A15" s="28" t="s">
        <v>56</v>
      </c>
      <c r="B15" s="42" t="s">
        <v>220</v>
      </c>
      <c r="C15" s="36"/>
      <c r="D15" s="7"/>
      <c r="E15" s="10"/>
      <c r="F15" s="10"/>
      <c r="G15" s="7"/>
    </row>
    <row r="16" spans="1:9" x14ac:dyDescent="0.2">
      <c r="A16" s="28" t="s">
        <v>60</v>
      </c>
      <c r="B16" s="42" t="s">
        <v>220</v>
      </c>
      <c r="C16" s="36"/>
      <c r="D16" s="7"/>
      <c r="E16" s="10"/>
      <c r="F16" s="10"/>
      <c r="G16" s="7"/>
    </row>
    <row r="17" spans="1:7" x14ac:dyDescent="0.2">
      <c r="A17" s="28" t="s">
        <v>61</v>
      </c>
      <c r="B17" s="42" t="s">
        <v>220</v>
      </c>
      <c r="C17" s="36"/>
      <c r="D17" s="7"/>
      <c r="E17" s="10"/>
      <c r="F17" s="10"/>
      <c r="G17" s="7"/>
    </row>
    <row r="18" spans="1:7" x14ac:dyDescent="0.2">
      <c r="A18" s="28" t="s">
        <v>62</v>
      </c>
      <c r="B18" s="42" t="s">
        <v>220</v>
      </c>
      <c r="C18" s="36"/>
      <c r="D18" s="7"/>
      <c r="E18" s="10"/>
      <c r="F18" s="10"/>
      <c r="G18" s="7"/>
    </row>
    <row r="19" spans="1:7" x14ac:dyDescent="0.2">
      <c r="A19" s="28" t="s">
        <v>63</v>
      </c>
      <c r="B19" s="42" t="s">
        <v>220</v>
      </c>
      <c r="C19" s="36"/>
      <c r="D19" s="7"/>
      <c r="E19" s="10"/>
      <c r="F19" s="10"/>
      <c r="G19" s="7"/>
    </row>
    <row r="20" spans="1:7" x14ac:dyDescent="0.2">
      <c r="A20" s="28" t="s">
        <v>57</v>
      </c>
      <c r="B20" s="42" t="s">
        <v>222</v>
      </c>
      <c r="C20" s="36"/>
      <c r="D20" s="7"/>
      <c r="E20" s="10"/>
      <c r="F20" s="10"/>
      <c r="G20" s="7"/>
    </row>
    <row r="21" spans="1:7" ht="15.75" customHeight="1" x14ac:dyDescent="0.2">
      <c r="A21" s="28" t="s">
        <v>58</v>
      </c>
      <c r="B21" s="42" t="s">
        <v>222</v>
      </c>
      <c r="C21" s="36"/>
      <c r="D21" s="7"/>
      <c r="E21" s="10"/>
      <c r="F21" s="10"/>
      <c r="G21" s="7"/>
    </row>
    <row r="22" spans="1:7" ht="15.75" customHeight="1" x14ac:dyDescent="0.2">
      <c r="A22" s="28" t="s">
        <v>59</v>
      </c>
      <c r="B22" s="42" t="s">
        <v>222</v>
      </c>
      <c r="C22" s="36"/>
      <c r="D22" s="7"/>
      <c r="E22" s="10"/>
      <c r="F22" s="10"/>
      <c r="G22" s="7"/>
    </row>
    <row r="23" spans="1:7" ht="15.75" customHeight="1" x14ac:dyDescent="0.2">
      <c r="A23" s="28" t="s">
        <v>65</v>
      </c>
      <c r="B23" s="42" t="s">
        <v>222</v>
      </c>
      <c r="C23" s="36"/>
      <c r="D23" s="7"/>
      <c r="E23" s="10"/>
      <c r="F23" s="10"/>
      <c r="G23" s="7"/>
    </row>
    <row r="24" spans="1:7" ht="15.75" customHeight="1" x14ac:dyDescent="0.2">
      <c r="A24" s="28" t="s">
        <v>66</v>
      </c>
      <c r="B24" s="42" t="s">
        <v>222</v>
      </c>
      <c r="C24" s="36"/>
      <c r="D24" s="7"/>
      <c r="E24" s="10"/>
      <c r="F24" s="10"/>
      <c r="G24" s="7"/>
    </row>
    <row r="25" spans="1:7" ht="15.75" customHeight="1" x14ac:dyDescent="0.2">
      <c r="A25" s="28" t="s">
        <v>64</v>
      </c>
      <c r="B25" s="42" t="s">
        <v>222</v>
      </c>
      <c r="C25" s="36"/>
      <c r="D25" s="7"/>
      <c r="E25" s="10"/>
      <c r="F25" s="10"/>
      <c r="G25" s="7"/>
    </row>
    <row r="26" spans="1:7" ht="15.75" customHeight="1" x14ac:dyDescent="0.2">
      <c r="A26" s="28" t="s">
        <v>71</v>
      </c>
      <c r="B26" s="42" t="s">
        <v>222</v>
      </c>
      <c r="C26" s="36"/>
      <c r="D26" s="7"/>
      <c r="E26" s="10"/>
      <c r="F26" s="10"/>
      <c r="G26" s="7"/>
    </row>
    <row r="27" spans="1:7" ht="15.75" customHeight="1" x14ac:dyDescent="0.2">
      <c r="A27" s="28" t="s">
        <v>72</v>
      </c>
      <c r="B27" s="42" t="s">
        <v>222</v>
      </c>
      <c r="C27" s="36"/>
      <c r="D27" s="7"/>
      <c r="E27" s="10"/>
      <c r="F27" s="10"/>
      <c r="G27" s="7"/>
    </row>
    <row r="28" spans="1:7" ht="15.75" customHeight="1" x14ac:dyDescent="0.2">
      <c r="A28" s="28" t="s">
        <v>73</v>
      </c>
      <c r="B28" s="42" t="s">
        <v>222</v>
      </c>
      <c r="C28" s="36"/>
      <c r="D28" s="7"/>
      <c r="E28" s="10"/>
      <c r="F28" s="10"/>
      <c r="G28" s="7"/>
    </row>
    <row r="29" spans="1:7" ht="15.75" customHeight="1" x14ac:dyDescent="0.2">
      <c r="A29" s="28" t="s">
        <v>67</v>
      </c>
      <c r="B29" s="42" t="s">
        <v>224</v>
      </c>
      <c r="C29" s="36"/>
      <c r="D29" s="7"/>
      <c r="E29" s="10"/>
      <c r="F29" s="10"/>
      <c r="G29" s="7"/>
    </row>
    <row r="30" spans="1:7" ht="15.75" customHeight="1" x14ac:dyDescent="0.2">
      <c r="A30" s="28" t="s">
        <v>68</v>
      </c>
      <c r="B30" s="42" t="s">
        <v>224</v>
      </c>
      <c r="C30" s="36"/>
      <c r="D30" s="7"/>
      <c r="E30" s="10"/>
      <c r="F30" s="10"/>
      <c r="G30" s="7"/>
    </row>
    <row r="31" spans="1:7" ht="15.75" customHeight="1" x14ac:dyDescent="0.2">
      <c r="A31" s="28" t="s">
        <v>69</v>
      </c>
      <c r="B31" s="42" t="s">
        <v>224</v>
      </c>
      <c r="C31" s="36"/>
      <c r="D31" s="7"/>
      <c r="E31" s="10"/>
      <c r="F31" s="10"/>
      <c r="G31" s="7"/>
    </row>
    <row r="32" spans="1:7" ht="15.75" customHeight="1" x14ac:dyDescent="0.2">
      <c r="A32" s="28" t="s">
        <v>70</v>
      </c>
      <c r="B32" s="42" t="s">
        <v>224</v>
      </c>
      <c r="C32" s="36"/>
      <c r="D32" s="7"/>
      <c r="E32" s="10"/>
      <c r="F32" s="10"/>
      <c r="G32" s="7"/>
    </row>
    <row r="33" spans="1:7" ht="15.75" customHeight="1" x14ac:dyDescent="0.2">
      <c r="A33" s="28" t="s">
        <v>77</v>
      </c>
      <c r="B33" s="42" t="s">
        <v>224</v>
      </c>
      <c r="C33" s="36"/>
      <c r="D33" s="7"/>
      <c r="E33" s="10"/>
      <c r="F33" s="10"/>
      <c r="G33" s="7"/>
    </row>
    <row r="34" spans="1:7" ht="15.75" customHeight="1" x14ac:dyDescent="0.2">
      <c r="A34" s="28" t="s">
        <v>74</v>
      </c>
      <c r="B34" s="42" t="s">
        <v>224</v>
      </c>
      <c r="C34" s="36"/>
      <c r="D34" s="7"/>
      <c r="E34" s="10"/>
      <c r="F34" s="10"/>
      <c r="G34" s="7"/>
    </row>
    <row r="35" spans="1:7" ht="15.75" customHeight="1" x14ac:dyDescent="0.2">
      <c r="A35" s="28" t="s">
        <v>75</v>
      </c>
      <c r="B35" s="42" t="s">
        <v>224</v>
      </c>
      <c r="C35" s="36"/>
      <c r="D35" s="7"/>
      <c r="E35" s="10"/>
      <c r="F35" s="10"/>
      <c r="G35" s="7"/>
    </row>
    <row r="36" spans="1:7" ht="15.75" customHeight="1" x14ac:dyDescent="0.2">
      <c r="A36" s="28" t="s">
        <v>76</v>
      </c>
      <c r="B36" s="42" t="s">
        <v>224</v>
      </c>
      <c r="C36" s="36"/>
      <c r="D36" s="7"/>
      <c r="E36" s="10"/>
      <c r="F36" s="10"/>
      <c r="G36" s="7"/>
    </row>
    <row r="37" spans="1:7" ht="15.75" customHeight="1" x14ac:dyDescent="0.2">
      <c r="A37" s="28" t="s">
        <v>84</v>
      </c>
      <c r="B37" s="42" t="s">
        <v>224</v>
      </c>
      <c r="C37" s="36"/>
      <c r="D37" s="7"/>
      <c r="E37" s="10"/>
      <c r="F37" s="10"/>
      <c r="G37" s="7"/>
    </row>
    <row r="38" spans="1:7" ht="15.75" customHeight="1" x14ac:dyDescent="0.2">
      <c r="A38" s="28" t="s">
        <v>85</v>
      </c>
      <c r="B38" s="42" t="s">
        <v>224</v>
      </c>
      <c r="C38" s="36"/>
      <c r="D38" s="7"/>
      <c r="E38" s="10"/>
      <c r="F38" s="10"/>
      <c r="G38" s="7"/>
    </row>
    <row r="39" spans="1:7" ht="15.75" customHeight="1" x14ac:dyDescent="0.2">
      <c r="A39" s="28" t="s">
        <v>53</v>
      </c>
      <c r="B39" s="42" t="s">
        <v>226</v>
      </c>
      <c r="C39" s="36"/>
      <c r="D39" s="7"/>
      <c r="E39" s="10"/>
      <c r="F39" s="10"/>
      <c r="G39" s="7"/>
    </row>
    <row r="40" spans="1:7" ht="15.75" customHeight="1" x14ac:dyDescent="0.2">
      <c r="A40" s="28" t="s">
        <v>60</v>
      </c>
      <c r="B40" s="42" t="s">
        <v>226</v>
      </c>
      <c r="C40" s="36"/>
      <c r="D40" s="7"/>
      <c r="E40" s="10"/>
      <c r="F40" s="10"/>
      <c r="G40" s="7"/>
    </row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3">
    <mergeCell ref="A1:I1"/>
    <mergeCell ref="B36:C36"/>
    <mergeCell ref="B32:C32"/>
    <mergeCell ref="B26:C26"/>
    <mergeCell ref="B35:C35"/>
    <mergeCell ref="B40:C40"/>
    <mergeCell ref="B24:C24"/>
    <mergeCell ref="B30:C30"/>
    <mergeCell ref="B15:C15"/>
    <mergeCell ref="B33:C33"/>
    <mergeCell ref="B20:C20"/>
    <mergeCell ref="B39:C39"/>
    <mergeCell ref="B21:C21"/>
    <mergeCell ref="B11:C11"/>
    <mergeCell ref="B23:C23"/>
    <mergeCell ref="B14:C14"/>
    <mergeCell ref="B17:C17"/>
    <mergeCell ref="B13:C13"/>
    <mergeCell ref="B38:C38"/>
    <mergeCell ref="B29:C29"/>
    <mergeCell ref="B19:C19"/>
    <mergeCell ref="B34:C34"/>
    <mergeCell ref="B37:C37"/>
    <mergeCell ref="B28:C28"/>
    <mergeCell ref="B16:C16"/>
    <mergeCell ref="B25:C25"/>
    <mergeCell ref="B22:C22"/>
    <mergeCell ref="A3:I3"/>
    <mergeCell ref="B31:C31"/>
    <mergeCell ref="B18:C18"/>
    <mergeCell ref="B27:C27"/>
    <mergeCell ref="B12:C12"/>
    <mergeCell ref="A10:I10"/>
  </mergeCells>
  <conditionalFormatting sqref="E12:E40">
    <cfRule type="expression" dxfId="9" priority="2">
      <formula>AND($E12&lt;&gt;"",COUNTIF($G$5:$G$8,$E12)+COUNTIF($E$12:$E$40,$E12)&gt;1)</formula>
    </cfRule>
  </conditionalFormatting>
  <conditionalFormatting sqref="G5:G8">
    <cfRule type="expression" dxfId="8" priority="1">
      <formula>AND($G5&lt;&gt;"",COUNTIF($G$5:$G$8,$G5)+COUNTIF($E$12:$E$40,$G5)&gt;1)</formula>
    </cfRule>
  </conditionalFormatting>
  <pageMargins left="0.75" right="0.75" top="1" bottom="1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000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4.5" defaultRowHeight="15" customHeight="1" x14ac:dyDescent="0.2"/>
  <cols>
    <col min="1" max="1" width="8" customWidth="1"/>
    <col min="2" max="2" width="42" customWidth="1"/>
    <col min="3" max="3" width="35" customWidth="1"/>
    <col min="4" max="5" width="14" customWidth="1"/>
    <col min="6" max="6" width="26" customWidth="1"/>
    <col min="7" max="7" width="12" customWidth="1"/>
    <col min="8" max="8" width="13" customWidth="1"/>
    <col min="9" max="9" width="22" customWidth="1"/>
    <col min="10" max="26" width="8.6640625" customWidth="1"/>
  </cols>
  <sheetData>
    <row r="1" spans="1:9" ht="17" x14ac:dyDescent="0.2">
      <c r="A1" s="39" t="s">
        <v>228</v>
      </c>
      <c r="B1" s="40"/>
      <c r="C1" s="40"/>
      <c r="D1" s="40"/>
      <c r="E1" s="40"/>
      <c r="F1" s="40"/>
      <c r="G1" s="40"/>
      <c r="H1" s="40"/>
      <c r="I1" s="40"/>
    </row>
    <row r="2" spans="1:9" x14ac:dyDescent="0.2"/>
    <row r="3" spans="1:9" x14ac:dyDescent="0.2">
      <c r="A3" s="41" t="s">
        <v>26</v>
      </c>
      <c r="B3" s="40"/>
      <c r="C3" s="40"/>
      <c r="D3" s="40"/>
      <c r="E3" s="40"/>
      <c r="F3" s="40"/>
      <c r="G3" s="40"/>
      <c r="H3" s="40"/>
      <c r="I3" s="40"/>
    </row>
    <row r="4" spans="1:9" ht="30" x14ac:dyDescent="0.2">
      <c r="A4" s="4" t="s">
        <v>27</v>
      </c>
      <c r="B4" s="4" t="s">
        <v>28</v>
      </c>
      <c r="C4" s="4" t="s">
        <v>29</v>
      </c>
      <c r="D4" s="4" t="s">
        <v>30</v>
      </c>
      <c r="E4" s="4" t="s">
        <v>31</v>
      </c>
      <c r="F4" s="4" t="s">
        <v>32</v>
      </c>
      <c r="G4" s="4" t="s">
        <v>33</v>
      </c>
      <c r="H4" s="4" t="s">
        <v>34</v>
      </c>
      <c r="I4" s="4" t="s">
        <v>35</v>
      </c>
    </row>
    <row r="5" spans="1:9" x14ac:dyDescent="0.2">
      <c r="A5" s="7">
        <v>1</v>
      </c>
      <c r="B5" s="7" t="s">
        <v>229</v>
      </c>
      <c r="C5" s="7" t="s">
        <v>230</v>
      </c>
      <c r="D5" s="7">
        <v>16</v>
      </c>
      <c r="E5" s="7">
        <v>5600</v>
      </c>
      <c r="F5" s="7"/>
      <c r="G5" s="10"/>
      <c r="H5" s="10"/>
      <c r="I5" s="7"/>
    </row>
    <row r="6" spans="1:9" x14ac:dyDescent="0.2">
      <c r="A6" s="7">
        <v>2</v>
      </c>
      <c r="B6" s="7" t="s">
        <v>231</v>
      </c>
      <c r="C6" s="7" t="s">
        <v>230</v>
      </c>
      <c r="D6" s="7">
        <v>12</v>
      </c>
      <c r="E6" s="7">
        <v>4200</v>
      </c>
      <c r="F6" s="7"/>
      <c r="G6" s="10"/>
      <c r="H6" s="10"/>
      <c r="I6" s="7"/>
    </row>
    <row r="7" spans="1:9" x14ac:dyDescent="0.2">
      <c r="A7" s="7">
        <v>3</v>
      </c>
      <c r="B7" s="7" t="s">
        <v>232</v>
      </c>
      <c r="C7" s="7" t="s">
        <v>233</v>
      </c>
      <c r="D7" s="7">
        <v>7</v>
      </c>
      <c r="E7" s="7">
        <v>1997</v>
      </c>
      <c r="F7" s="7"/>
      <c r="G7" s="10"/>
      <c r="H7" s="10"/>
      <c r="I7" s="7"/>
    </row>
    <row r="8" spans="1:9" x14ac:dyDescent="0.2"/>
    <row r="9" spans="1:9" x14ac:dyDescent="0.2">
      <c r="A9" s="41" t="s">
        <v>50</v>
      </c>
      <c r="B9" s="40"/>
      <c r="C9" s="40"/>
      <c r="D9" s="40"/>
      <c r="E9" s="40"/>
      <c r="F9" s="40"/>
      <c r="G9" s="40"/>
      <c r="H9" s="40"/>
      <c r="I9" s="40"/>
    </row>
    <row r="10" spans="1:9" ht="30" x14ac:dyDescent="0.2">
      <c r="A10" s="4" t="s">
        <v>51</v>
      </c>
      <c r="B10" s="38" t="s">
        <v>28</v>
      </c>
      <c r="C10" s="36"/>
      <c r="D10" s="4" t="s">
        <v>52</v>
      </c>
      <c r="E10" s="4" t="s">
        <v>33</v>
      </c>
      <c r="F10" s="4" t="s">
        <v>34</v>
      </c>
      <c r="G10" s="4" t="s">
        <v>35</v>
      </c>
    </row>
    <row r="11" spans="1:9" x14ac:dyDescent="0.2">
      <c r="A11" s="28" t="s">
        <v>53</v>
      </c>
      <c r="B11" s="42" t="s">
        <v>229</v>
      </c>
      <c r="C11" s="36"/>
      <c r="D11" s="7"/>
      <c r="E11" s="10"/>
      <c r="F11" s="10"/>
      <c r="G11" s="7"/>
    </row>
    <row r="12" spans="1:9" x14ac:dyDescent="0.2">
      <c r="A12" s="28" t="s">
        <v>54</v>
      </c>
      <c r="B12" s="42" t="s">
        <v>229</v>
      </c>
      <c r="C12" s="36"/>
      <c r="D12" s="7"/>
      <c r="E12" s="10"/>
      <c r="F12" s="10"/>
      <c r="G12" s="7"/>
    </row>
    <row r="13" spans="1:9" x14ac:dyDescent="0.2">
      <c r="A13" s="28" t="s">
        <v>55</v>
      </c>
      <c r="B13" s="42" t="s">
        <v>229</v>
      </c>
      <c r="C13" s="36"/>
      <c r="D13" s="7"/>
      <c r="E13" s="10"/>
      <c r="F13" s="10"/>
      <c r="G13" s="7"/>
    </row>
    <row r="14" spans="1:9" x14ac:dyDescent="0.2">
      <c r="A14" s="28" t="s">
        <v>56</v>
      </c>
      <c r="B14" s="42" t="s">
        <v>229</v>
      </c>
      <c r="C14" s="36"/>
      <c r="D14" s="7"/>
      <c r="E14" s="10"/>
      <c r="F14" s="10"/>
      <c r="G14" s="7"/>
    </row>
    <row r="15" spans="1:9" x14ac:dyDescent="0.2">
      <c r="A15" s="28" t="s">
        <v>57</v>
      </c>
      <c r="B15" s="42" t="s">
        <v>229</v>
      </c>
      <c r="C15" s="36"/>
      <c r="D15" s="7"/>
      <c r="E15" s="10"/>
      <c r="F15" s="10"/>
      <c r="G15" s="7"/>
    </row>
    <row r="16" spans="1:9" x14ac:dyDescent="0.2">
      <c r="A16" s="28" t="s">
        <v>58</v>
      </c>
      <c r="B16" s="42" t="s">
        <v>229</v>
      </c>
      <c r="C16" s="36"/>
      <c r="D16" s="7"/>
      <c r="E16" s="10"/>
      <c r="F16" s="10"/>
      <c r="G16" s="7"/>
    </row>
    <row r="17" spans="1:7" x14ac:dyDescent="0.2">
      <c r="A17" s="28" t="s">
        <v>59</v>
      </c>
      <c r="B17" s="42" t="s">
        <v>229</v>
      </c>
      <c r="C17" s="36"/>
      <c r="D17" s="7"/>
      <c r="E17" s="10"/>
      <c r="F17" s="10"/>
      <c r="G17" s="7"/>
    </row>
    <row r="18" spans="1:7" x14ac:dyDescent="0.2">
      <c r="A18" s="28" t="s">
        <v>65</v>
      </c>
      <c r="B18" s="42" t="s">
        <v>229</v>
      </c>
      <c r="C18" s="36"/>
      <c r="D18" s="7"/>
      <c r="E18" s="10"/>
      <c r="F18" s="10"/>
      <c r="G18" s="7"/>
    </row>
    <row r="19" spans="1:7" x14ac:dyDescent="0.2">
      <c r="A19" s="28" t="s">
        <v>60</v>
      </c>
      <c r="B19" s="42" t="s">
        <v>229</v>
      </c>
      <c r="C19" s="36"/>
      <c r="D19" s="7"/>
      <c r="E19" s="10"/>
      <c r="F19" s="10"/>
      <c r="G19" s="7"/>
    </row>
    <row r="20" spans="1:7" x14ac:dyDescent="0.2">
      <c r="A20" s="28" t="s">
        <v>61</v>
      </c>
      <c r="B20" s="42" t="s">
        <v>229</v>
      </c>
      <c r="C20" s="36"/>
      <c r="D20" s="7"/>
      <c r="E20" s="10"/>
      <c r="F20" s="10"/>
      <c r="G20" s="7"/>
    </row>
    <row r="21" spans="1:7" ht="15.75" customHeight="1" x14ac:dyDescent="0.2">
      <c r="A21" s="28" t="s">
        <v>62</v>
      </c>
      <c r="B21" s="42" t="s">
        <v>229</v>
      </c>
      <c r="C21" s="36"/>
      <c r="D21" s="7"/>
      <c r="E21" s="10"/>
      <c r="F21" s="10"/>
      <c r="G21" s="7"/>
    </row>
    <row r="22" spans="1:7" ht="15.75" customHeight="1" x14ac:dyDescent="0.2">
      <c r="A22" s="28" t="s">
        <v>63</v>
      </c>
      <c r="B22" s="42" t="s">
        <v>229</v>
      </c>
      <c r="C22" s="36"/>
      <c r="D22" s="7"/>
      <c r="E22" s="10"/>
      <c r="F22" s="10"/>
      <c r="G22" s="7"/>
    </row>
    <row r="23" spans="1:7" ht="15.75" customHeight="1" x14ac:dyDescent="0.2">
      <c r="A23" s="28" t="s">
        <v>64</v>
      </c>
      <c r="B23" s="42" t="s">
        <v>229</v>
      </c>
      <c r="C23" s="36"/>
      <c r="D23" s="7"/>
      <c r="E23" s="10"/>
      <c r="F23" s="10"/>
      <c r="G23" s="7"/>
    </row>
    <row r="24" spans="1:7" ht="15.75" customHeight="1" x14ac:dyDescent="0.2">
      <c r="A24" s="28" t="s">
        <v>71</v>
      </c>
      <c r="B24" s="42" t="s">
        <v>229</v>
      </c>
      <c r="C24" s="36"/>
      <c r="D24" s="7"/>
      <c r="E24" s="10"/>
      <c r="F24" s="10"/>
      <c r="G24" s="7"/>
    </row>
    <row r="25" spans="1:7" ht="15.75" customHeight="1" x14ac:dyDescent="0.2">
      <c r="A25" s="28" t="s">
        <v>72</v>
      </c>
      <c r="B25" s="42" t="s">
        <v>229</v>
      </c>
      <c r="C25" s="36"/>
      <c r="D25" s="7"/>
      <c r="E25" s="10"/>
      <c r="F25" s="10"/>
      <c r="G25" s="7"/>
    </row>
    <row r="26" spans="1:7" ht="15.75" customHeight="1" x14ac:dyDescent="0.2">
      <c r="A26" s="28" t="s">
        <v>73</v>
      </c>
      <c r="B26" s="42" t="s">
        <v>229</v>
      </c>
      <c r="C26" s="36"/>
      <c r="D26" s="7"/>
      <c r="E26" s="10"/>
      <c r="F26" s="10"/>
      <c r="G26" s="7"/>
    </row>
    <row r="27" spans="1:7" ht="15.75" customHeight="1" x14ac:dyDescent="0.2">
      <c r="A27" s="28" t="s">
        <v>66</v>
      </c>
      <c r="B27" s="42" t="s">
        <v>231</v>
      </c>
      <c r="C27" s="36"/>
      <c r="D27" s="7"/>
      <c r="E27" s="10"/>
      <c r="F27" s="10"/>
      <c r="G27" s="7"/>
    </row>
    <row r="28" spans="1:7" ht="15.75" customHeight="1" x14ac:dyDescent="0.2">
      <c r="A28" s="28" t="s">
        <v>67</v>
      </c>
      <c r="B28" s="42" t="s">
        <v>231</v>
      </c>
      <c r="C28" s="36"/>
      <c r="D28" s="7"/>
      <c r="E28" s="10"/>
      <c r="F28" s="10"/>
      <c r="G28" s="7"/>
    </row>
    <row r="29" spans="1:7" ht="15.75" customHeight="1" x14ac:dyDescent="0.2">
      <c r="A29" s="28" t="s">
        <v>68</v>
      </c>
      <c r="B29" s="42" t="s">
        <v>231</v>
      </c>
      <c r="C29" s="36"/>
      <c r="D29" s="7"/>
      <c r="E29" s="10"/>
      <c r="F29" s="10"/>
      <c r="G29" s="7"/>
    </row>
    <row r="30" spans="1:7" ht="15.75" customHeight="1" x14ac:dyDescent="0.2">
      <c r="A30" s="28" t="s">
        <v>69</v>
      </c>
      <c r="B30" s="42" t="s">
        <v>231</v>
      </c>
      <c r="C30" s="36"/>
      <c r="D30" s="7"/>
      <c r="E30" s="10"/>
      <c r="F30" s="10"/>
      <c r="G30" s="7"/>
    </row>
    <row r="31" spans="1:7" ht="15.75" customHeight="1" x14ac:dyDescent="0.2">
      <c r="A31" s="28" t="s">
        <v>70</v>
      </c>
      <c r="B31" s="42" t="s">
        <v>231</v>
      </c>
      <c r="C31" s="36"/>
      <c r="D31" s="7"/>
      <c r="E31" s="10"/>
      <c r="F31" s="10"/>
      <c r="G31" s="7"/>
    </row>
    <row r="32" spans="1:7" ht="15.75" customHeight="1" x14ac:dyDescent="0.2">
      <c r="A32" s="28" t="s">
        <v>77</v>
      </c>
      <c r="B32" s="42" t="s">
        <v>231</v>
      </c>
      <c r="C32" s="36"/>
      <c r="D32" s="7"/>
      <c r="E32" s="10"/>
      <c r="F32" s="10"/>
      <c r="G32" s="7"/>
    </row>
    <row r="33" spans="1:7" ht="15.75" customHeight="1" x14ac:dyDescent="0.2">
      <c r="A33" s="28" t="s">
        <v>74</v>
      </c>
      <c r="B33" s="42" t="s">
        <v>231</v>
      </c>
      <c r="C33" s="36"/>
      <c r="D33" s="7"/>
      <c r="E33" s="10"/>
      <c r="F33" s="10"/>
      <c r="G33" s="7"/>
    </row>
    <row r="34" spans="1:7" ht="15.75" customHeight="1" x14ac:dyDescent="0.2">
      <c r="A34" s="28" t="s">
        <v>75</v>
      </c>
      <c r="B34" s="42" t="s">
        <v>231</v>
      </c>
      <c r="C34" s="36"/>
      <c r="D34" s="7"/>
      <c r="E34" s="10"/>
      <c r="F34" s="10"/>
      <c r="G34" s="7"/>
    </row>
    <row r="35" spans="1:7" ht="15.75" customHeight="1" x14ac:dyDescent="0.2">
      <c r="A35" s="28" t="s">
        <v>76</v>
      </c>
      <c r="B35" s="42" t="s">
        <v>231</v>
      </c>
      <c r="C35" s="36"/>
      <c r="D35" s="7"/>
      <c r="E35" s="10"/>
      <c r="F35" s="10"/>
      <c r="G35" s="7"/>
    </row>
    <row r="36" spans="1:7" ht="15.75" customHeight="1" x14ac:dyDescent="0.2">
      <c r="A36" s="28" t="s">
        <v>84</v>
      </c>
      <c r="B36" s="42" t="s">
        <v>231</v>
      </c>
      <c r="C36" s="36"/>
      <c r="D36" s="7"/>
      <c r="E36" s="10"/>
      <c r="F36" s="10"/>
      <c r="G36" s="7"/>
    </row>
    <row r="37" spans="1:7" ht="15.75" customHeight="1" x14ac:dyDescent="0.2">
      <c r="A37" s="28" t="s">
        <v>85</v>
      </c>
      <c r="B37" s="42" t="s">
        <v>231</v>
      </c>
      <c r="C37" s="36"/>
      <c r="D37" s="7"/>
      <c r="E37" s="10"/>
      <c r="F37" s="10"/>
      <c r="G37" s="7"/>
    </row>
    <row r="38" spans="1:7" ht="15.75" customHeight="1" x14ac:dyDescent="0.2">
      <c r="A38" s="28" t="s">
        <v>86</v>
      </c>
      <c r="B38" s="42" t="s">
        <v>231</v>
      </c>
      <c r="C38" s="36"/>
      <c r="D38" s="7"/>
      <c r="E38" s="10"/>
      <c r="F38" s="10"/>
      <c r="G38" s="7"/>
    </row>
    <row r="39" spans="1:7" ht="15.75" customHeight="1" x14ac:dyDescent="0.2">
      <c r="A39" s="28" t="s">
        <v>78</v>
      </c>
      <c r="B39" s="42" t="s">
        <v>232</v>
      </c>
      <c r="C39" s="36"/>
      <c r="D39" s="7"/>
      <c r="E39" s="10"/>
      <c r="F39" s="10"/>
      <c r="G39" s="7"/>
    </row>
    <row r="40" spans="1:7" ht="15.75" customHeight="1" x14ac:dyDescent="0.2">
      <c r="A40" s="28" t="s">
        <v>79</v>
      </c>
      <c r="B40" s="42" t="s">
        <v>232</v>
      </c>
      <c r="C40" s="36"/>
      <c r="D40" s="7"/>
      <c r="E40" s="10"/>
      <c r="F40" s="10"/>
      <c r="G40" s="7"/>
    </row>
    <row r="41" spans="1:7" ht="15.75" customHeight="1" x14ac:dyDescent="0.2">
      <c r="A41" s="28" t="s">
        <v>80</v>
      </c>
      <c r="B41" s="42" t="s">
        <v>232</v>
      </c>
      <c r="C41" s="36"/>
      <c r="D41" s="7"/>
      <c r="E41" s="10"/>
      <c r="F41" s="10"/>
      <c r="G41" s="7"/>
    </row>
    <row r="42" spans="1:7" ht="15.75" customHeight="1" x14ac:dyDescent="0.2">
      <c r="A42" s="28" t="s">
        <v>81</v>
      </c>
      <c r="B42" s="42" t="s">
        <v>232</v>
      </c>
      <c r="C42" s="36"/>
      <c r="D42" s="7"/>
      <c r="E42" s="10"/>
      <c r="F42" s="10"/>
      <c r="G42" s="7"/>
    </row>
    <row r="43" spans="1:7" ht="15.75" customHeight="1" x14ac:dyDescent="0.2">
      <c r="A43" s="28" t="s">
        <v>87</v>
      </c>
      <c r="B43" s="42" t="s">
        <v>232</v>
      </c>
      <c r="C43" s="36"/>
      <c r="D43" s="7"/>
      <c r="E43" s="10"/>
      <c r="F43" s="10"/>
      <c r="G43" s="7"/>
    </row>
    <row r="44" spans="1:7" ht="15.75" customHeight="1" x14ac:dyDescent="0.2">
      <c r="A44" s="28" t="s">
        <v>88</v>
      </c>
      <c r="B44" s="42" t="s">
        <v>232</v>
      </c>
      <c r="C44" s="36"/>
      <c r="D44" s="7"/>
      <c r="E44" s="10"/>
      <c r="F44" s="10"/>
      <c r="G44" s="7"/>
    </row>
    <row r="45" spans="1:7" ht="15.75" customHeight="1" x14ac:dyDescent="0.2">
      <c r="A45" s="28" t="s">
        <v>89</v>
      </c>
      <c r="B45" s="42" t="s">
        <v>232</v>
      </c>
      <c r="C45" s="36"/>
      <c r="D45" s="7"/>
      <c r="E45" s="10"/>
      <c r="F45" s="10"/>
      <c r="G45" s="7"/>
    </row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9">
    <mergeCell ref="B45:C45"/>
    <mergeCell ref="A1:I1"/>
    <mergeCell ref="B36:C36"/>
    <mergeCell ref="B32:C32"/>
    <mergeCell ref="B26:C26"/>
    <mergeCell ref="B41:C41"/>
    <mergeCell ref="B35:C35"/>
    <mergeCell ref="B44:C44"/>
    <mergeCell ref="B29:C29"/>
    <mergeCell ref="B19:C19"/>
    <mergeCell ref="B34:C34"/>
    <mergeCell ref="B37:C37"/>
    <mergeCell ref="B28:C28"/>
    <mergeCell ref="B40:C40"/>
    <mergeCell ref="B24:C24"/>
    <mergeCell ref="B30:C30"/>
    <mergeCell ref="B33:C33"/>
    <mergeCell ref="B20:C20"/>
    <mergeCell ref="B43:C43"/>
    <mergeCell ref="B12:C12"/>
    <mergeCell ref="B39:C39"/>
    <mergeCell ref="B21:C21"/>
    <mergeCell ref="B11:C11"/>
    <mergeCell ref="B42:C42"/>
    <mergeCell ref="B23:C23"/>
    <mergeCell ref="B14:C14"/>
    <mergeCell ref="B17:C17"/>
    <mergeCell ref="B13:C13"/>
    <mergeCell ref="B38:C38"/>
    <mergeCell ref="B15:C15"/>
    <mergeCell ref="B16:C16"/>
    <mergeCell ref="B25:C25"/>
    <mergeCell ref="B22:C22"/>
    <mergeCell ref="A3:I3"/>
    <mergeCell ref="B31:C31"/>
    <mergeCell ref="B18:C18"/>
    <mergeCell ref="B27:C27"/>
    <mergeCell ref="B10:C10"/>
    <mergeCell ref="A9:I9"/>
  </mergeCells>
  <conditionalFormatting sqref="E11:E45">
    <cfRule type="expression" dxfId="7" priority="2">
      <formula>AND($E11&lt;&gt;"",COUNTIF($G$5:$G$7,$E11)+COUNTIF($E$11:$E$45,$E11)&gt;1)</formula>
    </cfRule>
  </conditionalFormatting>
  <conditionalFormatting sqref="G5:G7">
    <cfRule type="expression" dxfId="6" priority="1">
      <formula>AND($G5&lt;&gt;"",COUNTIF($G$5:$G$7,$G5)+COUNTIF($E$11:$E$45,$G5)&gt;1)</formula>
    </cfRule>
  </conditionalFormatting>
  <pageMargins left="0.75" right="0.75" top="1" bottom="1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000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4.5" defaultRowHeight="15" customHeight="1" x14ac:dyDescent="0.2"/>
  <cols>
    <col min="1" max="1" width="8" customWidth="1"/>
    <col min="2" max="2" width="42" customWidth="1"/>
    <col min="3" max="3" width="35" customWidth="1"/>
    <col min="4" max="5" width="14" customWidth="1"/>
    <col min="6" max="6" width="26" customWidth="1"/>
    <col min="7" max="7" width="12" customWidth="1"/>
    <col min="8" max="8" width="13" customWidth="1"/>
    <col min="9" max="9" width="22" customWidth="1"/>
    <col min="10" max="26" width="8.6640625" customWidth="1"/>
  </cols>
  <sheetData>
    <row r="1" spans="1:26" ht="17" x14ac:dyDescent="0.2">
      <c r="A1" s="39" t="s">
        <v>234</v>
      </c>
      <c r="B1" s="40"/>
      <c r="C1" s="40"/>
      <c r="D1" s="40"/>
      <c r="E1" s="40"/>
      <c r="F1" s="40"/>
      <c r="G1" s="40"/>
      <c r="H1" s="40"/>
      <c r="I1" s="40"/>
    </row>
    <row r="2" spans="1:26" x14ac:dyDescent="0.2"/>
    <row r="3" spans="1:26" x14ac:dyDescent="0.2">
      <c r="A3" s="41" t="s">
        <v>26</v>
      </c>
      <c r="B3" s="40"/>
      <c r="C3" s="40"/>
      <c r="D3" s="40"/>
      <c r="E3" s="40"/>
      <c r="F3" s="40"/>
      <c r="G3" s="40"/>
      <c r="H3" s="40"/>
      <c r="I3" s="40"/>
    </row>
    <row r="4" spans="1:26" ht="30" x14ac:dyDescent="0.2">
      <c r="A4" s="4" t="s">
        <v>27</v>
      </c>
      <c r="B4" s="4" t="s">
        <v>28</v>
      </c>
      <c r="C4" s="4" t="s">
        <v>29</v>
      </c>
      <c r="D4" s="4" t="s">
        <v>30</v>
      </c>
      <c r="E4" s="4" t="s">
        <v>31</v>
      </c>
      <c r="F4" s="4" t="s">
        <v>32</v>
      </c>
      <c r="G4" s="4" t="s">
        <v>33</v>
      </c>
      <c r="H4" s="4" t="s">
        <v>34</v>
      </c>
      <c r="I4" s="4" t="s">
        <v>35</v>
      </c>
    </row>
    <row r="5" spans="1:26" x14ac:dyDescent="0.2">
      <c r="A5" s="14">
        <v>1</v>
      </c>
      <c r="B5" s="14" t="s">
        <v>235</v>
      </c>
      <c r="C5" s="14" t="s">
        <v>236</v>
      </c>
      <c r="D5" s="14">
        <v>10</v>
      </c>
      <c r="E5" s="14">
        <v>3500</v>
      </c>
      <c r="F5" s="14"/>
      <c r="G5" s="15"/>
      <c r="H5" s="15"/>
      <c r="I5" s="14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x14ac:dyDescent="0.2">
      <c r="A6" s="17">
        <v>2</v>
      </c>
      <c r="B6" s="17" t="s">
        <v>237</v>
      </c>
      <c r="C6" s="17" t="s">
        <v>238</v>
      </c>
      <c r="D6" s="17">
        <v>10</v>
      </c>
      <c r="E6" s="17">
        <v>3500</v>
      </c>
      <c r="F6" s="17"/>
      <c r="G6" s="18"/>
      <c r="H6" s="18"/>
      <c r="I6" s="17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x14ac:dyDescent="0.2">
      <c r="A7" s="11">
        <v>3</v>
      </c>
      <c r="B7" s="11" t="s">
        <v>239</v>
      </c>
      <c r="C7" s="11" t="s">
        <v>240</v>
      </c>
      <c r="D7" s="11">
        <v>11</v>
      </c>
      <c r="E7" s="11">
        <v>3306</v>
      </c>
      <c r="F7" s="11"/>
      <c r="G7" s="12"/>
      <c r="H7" s="12"/>
      <c r="I7" s="11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x14ac:dyDescent="0.2"/>
    <row r="9" spans="1:26" x14ac:dyDescent="0.2">
      <c r="A9" s="41" t="s">
        <v>50</v>
      </c>
      <c r="B9" s="40"/>
      <c r="C9" s="40"/>
      <c r="D9" s="40"/>
      <c r="E9" s="40"/>
      <c r="F9" s="40"/>
      <c r="G9" s="40"/>
      <c r="H9" s="40"/>
      <c r="I9" s="40"/>
    </row>
    <row r="10" spans="1:26" ht="30" x14ac:dyDescent="0.2">
      <c r="A10" s="4" t="s">
        <v>51</v>
      </c>
      <c r="B10" s="38" t="s">
        <v>28</v>
      </c>
      <c r="C10" s="36"/>
      <c r="D10" s="4" t="s">
        <v>52</v>
      </c>
      <c r="E10" s="4" t="s">
        <v>33</v>
      </c>
      <c r="F10" s="4" t="s">
        <v>34</v>
      </c>
      <c r="G10" s="4" t="s">
        <v>35</v>
      </c>
    </row>
    <row r="11" spans="1:26" x14ac:dyDescent="0.2">
      <c r="A11" s="29" t="s">
        <v>53</v>
      </c>
      <c r="B11" s="43" t="s">
        <v>235</v>
      </c>
      <c r="C11" s="36"/>
      <c r="D11" s="14"/>
      <c r="E11" s="14"/>
      <c r="F11" s="14"/>
      <c r="G11" s="15"/>
      <c r="H11" s="15"/>
      <c r="I11" s="14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x14ac:dyDescent="0.2">
      <c r="A12" s="29" t="s">
        <v>54</v>
      </c>
      <c r="B12" s="43" t="s">
        <v>235</v>
      </c>
      <c r="C12" s="36"/>
      <c r="D12" s="14"/>
      <c r="E12" s="14"/>
      <c r="F12" s="14"/>
      <c r="G12" s="15"/>
      <c r="H12" s="15"/>
      <c r="I12" s="14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x14ac:dyDescent="0.2">
      <c r="A13" s="29" t="s">
        <v>55</v>
      </c>
      <c r="B13" s="43" t="s">
        <v>235</v>
      </c>
      <c r="C13" s="36"/>
      <c r="D13" s="14"/>
      <c r="E13" s="14"/>
      <c r="F13" s="14"/>
      <c r="G13" s="15"/>
      <c r="H13" s="15"/>
      <c r="I13" s="14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x14ac:dyDescent="0.2">
      <c r="A14" s="29" t="s">
        <v>56</v>
      </c>
      <c r="B14" s="43" t="s">
        <v>235</v>
      </c>
      <c r="C14" s="36"/>
      <c r="D14" s="14"/>
      <c r="E14" s="14"/>
      <c r="F14" s="14"/>
      <c r="G14" s="15"/>
      <c r="H14" s="15"/>
      <c r="I14" s="14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x14ac:dyDescent="0.2">
      <c r="A15" s="29" t="s">
        <v>57</v>
      </c>
      <c r="B15" s="43" t="s">
        <v>235</v>
      </c>
      <c r="C15" s="36"/>
      <c r="D15" s="14"/>
      <c r="E15" s="14"/>
      <c r="F15" s="14"/>
      <c r="G15" s="15"/>
      <c r="H15" s="15"/>
      <c r="I15" s="14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x14ac:dyDescent="0.2">
      <c r="A16" s="29" t="s">
        <v>60</v>
      </c>
      <c r="B16" s="43" t="s">
        <v>235</v>
      </c>
      <c r="C16" s="36"/>
      <c r="D16" s="14"/>
      <c r="E16" s="14"/>
      <c r="F16" s="14"/>
      <c r="G16" s="15"/>
      <c r="H16" s="15"/>
      <c r="I16" s="14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x14ac:dyDescent="0.2">
      <c r="A17" s="29" t="s">
        <v>61</v>
      </c>
      <c r="B17" s="43" t="s">
        <v>235</v>
      </c>
      <c r="C17" s="36"/>
      <c r="D17" s="14"/>
      <c r="E17" s="14"/>
      <c r="F17" s="14"/>
      <c r="G17" s="15"/>
      <c r="H17" s="15"/>
      <c r="I17" s="14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x14ac:dyDescent="0.2">
      <c r="A18" s="29" t="s">
        <v>62</v>
      </c>
      <c r="B18" s="43" t="s">
        <v>235</v>
      </c>
      <c r="C18" s="36"/>
      <c r="D18" s="14"/>
      <c r="E18" s="14"/>
      <c r="F18" s="14"/>
      <c r="G18" s="15"/>
      <c r="H18" s="15"/>
      <c r="I18" s="14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x14ac:dyDescent="0.2">
      <c r="A19" s="29" t="s">
        <v>63</v>
      </c>
      <c r="B19" s="43" t="s">
        <v>235</v>
      </c>
      <c r="C19" s="36"/>
      <c r="D19" s="14"/>
      <c r="E19" s="14"/>
      <c r="F19" s="14"/>
      <c r="G19" s="15"/>
      <c r="H19" s="15"/>
      <c r="I19" s="14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x14ac:dyDescent="0.2">
      <c r="A20" s="29" t="s">
        <v>64</v>
      </c>
      <c r="B20" s="43" t="s">
        <v>235</v>
      </c>
      <c r="C20" s="36"/>
      <c r="D20" s="14"/>
      <c r="E20" s="14"/>
      <c r="F20" s="14"/>
      <c r="G20" s="15"/>
      <c r="H20" s="15"/>
      <c r="I20" s="14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x14ac:dyDescent="0.2">
      <c r="A21" s="30" t="s">
        <v>58</v>
      </c>
      <c r="B21" s="44" t="s">
        <v>237</v>
      </c>
      <c r="C21" s="36"/>
      <c r="D21" s="17"/>
      <c r="E21" s="17"/>
      <c r="F21" s="17"/>
      <c r="G21" s="18"/>
      <c r="H21" s="18"/>
      <c r="I21" s="17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x14ac:dyDescent="0.2">
      <c r="A22" s="30" t="s">
        <v>59</v>
      </c>
      <c r="B22" s="44" t="s">
        <v>237</v>
      </c>
      <c r="C22" s="36"/>
      <c r="D22" s="17"/>
      <c r="E22" s="17"/>
      <c r="F22" s="17"/>
      <c r="G22" s="18"/>
      <c r="H22" s="18"/>
      <c r="I22" s="17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x14ac:dyDescent="0.2">
      <c r="A23" s="30" t="s">
        <v>65</v>
      </c>
      <c r="B23" s="44" t="s">
        <v>237</v>
      </c>
      <c r="C23" s="36"/>
      <c r="D23" s="17"/>
      <c r="E23" s="17"/>
      <c r="F23" s="17"/>
      <c r="G23" s="18"/>
      <c r="H23" s="18"/>
      <c r="I23" s="17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x14ac:dyDescent="0.2">
      <c r="A24" s="30" t="s">
        <v>66</v>
      </c>
      <c r="B24" s="44" t="s">
        <v>237</v>
      </c>
      <c r="C24" s="36"/>
      <c r="D24" s="17"/>
      <c r="E24" s="17"/>
      <c r="F24" s="17"/>
      <c r="G24" s="18"/>
      <c r="H24" s="18"/>
      <c r="I24" s="17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x14ac:dyDescent="0.2">
      <c r="A25" s="30" t="s">
        <v>67</v>
      </c>
      <c r="B25" s="44" t="s">
        <v>237</v>
      </c>
      <c r="C25" s="36"/>
      <c r="D25" s="17"/>
      <c r="E25" s="17"/>
      <c r="F25" s="17"/>
      <c r="G25" s="18"/>
      <c r="H25" s="18"/>
      <c r="I25" s="17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x14ac:dyDescent="0.2">
      <c r="A26" s="30" t="s">
        <v>71</v>
      </c>
      <c r="B26" s="44" t="s">
        <v>237</v>
      </c>
      <c r="C26" s="36"/>
      <c r="D26" s="17"/>
      <c r="E26" s="17"/>
      <c r="F26" s="17"/>
      <c r="G26" s="18"/>
      <c r="H26" s="18"/>
      <c r="I26" s="17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x14ac:dyDescent="0.2">
      <c r="A27" s="30" t="s">
        <v>72</v>
      </c>
      <c r="B27" s="44" t="s">
        <v>237</v>
      </c>
      <c r="C27" s="36"/>
      <c r="D27" s="17"/>
      <c r="E27" s="17"/>
      <c r="F27" s="17"/>
      <c r="G27" s="18"/>
      <c r="H27" s="18"/>
      <c r="I27" s="17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x14ac:dyDescent="0.2">
      <c r="A28" s="30" t="s">
        <v>73</v>
      </c>
      <c r="B28" s="44" t="s">
        <v>237</v>
      </c>
      <c r="C28" s="36"/>
      <c r="D28" s="17"/>
      <c r="E28" s="17"/>
      <c r="F28" s="17"/>
      <c r="G28" s="18"/>
      <c r="H28" s="18"/>
      <c r="I28" s="17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x14ac:dyDescent="0.2">
      <c r="A29" s="30" t="s">
        <v>74</v>
      </c>
      <c r="B29" s="44" t="s">
        <v>237</v>
      </c>
      <c r="C29" s="36"/>
      <c r="D29" s="17"/>
      <c r="E29" s="17"/>
      <c r="F29" s="17"/>
      <c r="G29" s="18"/>
      <c r="H29" s="18"/>
      <c r="I29" s="17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x14ac:dyDescent="0.2">
      <c r="A30" s="30" t="s">
        <v>75</v>
      </c>
      <c r="B30" s="44" t="s">
        <v>237</v>
      </c>
      <c r="C30" s="36"/>
      <c r="D30" s="17"/>
      <c r="E30" s="17"/>
      <c r="F30" s="17"/>
      <c r="G30" s="18"/>
      <c r="H30" s="18"/>
      <c r="I30" s="17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x14ac:dyDescent="0.2">
      <c r="A31" s="30" t="s">
        <v>68</v>
      </c>
      <c r="B31" s="44" t="s">
        <v>239</v>
      </c>
      <c r="C31" s="36"/>
      <c r="D31" s="17"/>
      <c r="E31" s="17"/>
      <c r="F31" s="17"/>
      <c r="G31" s="18"/>
      <c r="H31" s="18"/>
      <c r="I31" s="17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x14ac:dyDescent="0.2">
      <c r="A32" s="27" t="s">
        <v>69</v>
      </c>
      <c r="B32" s="37" t="s">
        <v>239</v>
      </c>
      <c r="C32" s="36"/>
      <c r="D32" s="11"/>
      <c r="E32" s="11"/>
      <c r="F32" s="11"/>
      <c r="G32" s="12"/>
      <c r="H32" s="12"/>
      <c r="I32" s="11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x14ac:dyDescent="0.2">
      <c r="A33" s="27" t="s">
        <v>70</v>
      </c>
      <c r="B33" s="37" t="s">
        <v>239</v>
      </c>
      <c r="C33" s="36"/>
      <c r="D33" s="11"/>
      <c r="E33" s="11"/>
      <c r="F33" s="11"/>
      <c r="G33" s="12"/>
      <c r="H33" s="12"/>
      <c r="I33" s="11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x14ac:dyDescent="0.2">
      <c r="A34" s="27" t="s">
        <v>77</v>
      </c>
      <c r="B34" s="37" t="s">
        <v>239</v>
      </c>
      <c r="C34" s="36"/>
      <c r="D34" s="11"/>
      <c r="E34" s="11"/>
      <c r="F34" s="11"/>
      <c r="G34" s="12"/>
      <c r="H34" s="12"/>
      <c r="I34" s="11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x14ac:dyDescent="0.2">
      <c r="A35" s="27" t="s">
        <v>78</v>
      </c>
      <c r="B35" s="37" t="s">
        <v>239</v>
      </c>
      <c r="C35" s="36"/>
      <c r="D35" s="11"/>
      <c r="E35" s="11"/>
      <c r="F35" s="11"/>
      <c r="G35" s="12"/>
      <c r="H35" s="12"/>
      <c r="I35" s="11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x14ac:dyDescent="0.2">
      <c r="A36" s="27" t="s">
        <v>79</v>
      </c>
      <c r="B36" s="37" t="s">
        <v>239</v>
      </c>
      <c r="C36" s="36"/>
      <c r="D36" s="11"/>
      <c r="E36" s="11"/>
      <c r="F36" s="11"/>
      <c r="G36" s="12"/>
      <c r="H36" s="12"/>
      <c r="I36" s="11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x14ac:dyDescent="0.2">
      <c r="A37" s="27" t="s">
        <v>76</v>
      </c>
      <c r="B37" s="37" t="s">
        <v>239</v>
      </c>
      <c r="C37" s="36"/>
      <c r="D37" s="11"/>
      <c r="E37" s="11"/>
      <c r="F37" s="11"/>
      <c r="G37" s="12"/>
      <c r="H37" s="12"/>
      <c r="I37" s="11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x14ac:dyDescent="0.2">
      <c r="A38" s="27" t="s">
        <v>84</v>
      </c>
      <c r="B38" s="37" t="s">
        <v>239</v>
      </c>
      <c r="C38" s="36"/>
      <c r="D38" s="11"/>
      <c r="E38" s="11"/>
      <c r="F38" s="11"/>
      <c r="G38" s="12"/>
      <c r="H38" s="12"/>
      <c r="I38" s="11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x14ac:dyDescent="0.2">
      <c r="A39" s="27" t="s">
        <v>85</v>
      </c>
      <c r="B39" s="37" t="s">
        <v>239</v>
      </c>
      <c r="C39" s="36"/>
      <c r="D39" s="11"/>
      <c r="E39" s="11"/>
      <c r="F39" s="11"/>
      <c r="G39" s="12"/>
      <c r="H39" s="12"/>
      <c r="I39" s="11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x14ac:dyDescent="0.2">
      <c r="A40" s="27" t="s">
        <v>86</v>
      </c>
      <c r="B40" s="37" t="s">
        <v>239</v>
      </c>
      <c r="C40" s="36"/>
      <c r="D40" s="11"/>
      <c r="E40" s="11"/>
      <c r="F40" s="11"/>
      <c r="G40" s="12"/>
      <c r="H40" s="12"/>
      <c r="I40" s="11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x14ac:dyDescent="0.2">
      <c r="A41" s="27" t="s">
        <v>87</v>
      </c>
      <c r="B41" s="37" t="s">
        <v>239</v>
      </c>
      <c r="C41" s="36"/>
      <c r="D41" s="11"/>
      <c r="E41" s="11"/>
      <c r="F41" s="11"/>
      <c r="G41" s="12"/>
      <c r="H41" s="12"/>
      <c r="I41" s="11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5.75" customHeight="1" x14ac:dyDescent="0.2"/>
    <row r="43" spans="1:26" ht="15.75" customHeight="1" x14ac:dyDescent="0.2"/>
    <row r="44" spans="1:26" ht="15.75" customHeight="1" x14ac:dyDescent="0.2"/>
    <row r="45" spans="1:26" ht="15.75" customHeight="1" x14ac:dyDescent="0.2"/>
    <row r="46" spans="1:26" ht="15.75" customHeight="1" x14ac:dyDescent="0.2"/>
    <row r="47" spans="1:26" ht="15.75" customHeight="1" x14ac:dyDescent="0.2"/>
    <row r="48" spans="1:2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5">
    <mergeCell ref="A1:I1"/>
    <mergeCell ref="B36:C36"/>
    <mergeCell ref="B32:C32"/>
    <mergeCell ref="B26:C26"/>
    <mergeCell ref="B41:C41"/>
    <mergeCell ref="B35:C35"/>
    <mergeCell ref="B40:C40"/>
    <mergeCell ref="B24:C24"/>
    <mergeCell ref="B30:C30"/>
    <mergeCell ref="B15:C15"/>
    <mergeCell ref="B33:C33"/>
    <mergeCell ref="B20:C20"/>
    <mergeCell ref="B39:C39"/>
    <mergeCell ref="B21:C21"/>
    <mergeCell ref="B11:C11"/>
    <mergeCell ref="B23:C23"/>
    <mergeCell ref="B14:C14"/>
    <mergeCell ref="B17:C17"/>
    <mergeCell ref="B13:C13"/>
    <mergeCell ref="B38:C38"/>
    <mergeCell ref="B29:C29"/>
    <mergeCell ref="B19:C19"/>
    <mergeCell ref="B34:C34"/>
    <mergeCell ref="B37:C37"/>
    <mergeCell ref="B28:C28"/>
    <mergeCell ref="B16:C16"/>
    <mergeCell ref="B25:C25"/>
    <mergeCell ref="B22:C22"/>
    <mergeCell ref="A3:I3"/>
    <mergeCell ref="B31:C31"/>
    <mergeCell ref="B18:C18"/>
    <mergeCell ref="B27:C27"/>
    <mergeCell ref="B12:C12"/>
    <mergeCell ref="B10:C10"/>
    <mergeCell ref="A9:I9"/>
  </mergeCells>
  <conditionalFormatting sqref="E11:E41">
    <cfRule type="expression" dxfId="5" priority="2">
      <formula>AND($E11&lt;&gt;"",COUNTIF($G$5:$G$7,$E11)+COUNTIF($E$11:$E$41,$E11)&gt;1)</formula>
    </cfRule>
  </conditionalFormatting>
  <conditionalFormatting sqref="G5:G7 G11:G41">
    <cfRule type="expression" dxfId="4" priority="1">
      <formula>AND($G5&lt;&gt;"",COUNTIF($G$5:$G$7,$G5)+COUNTIF($E$11:$E$41,$G5)&gt;1)</formula>
    </cfRule>
  </conditionalFormatting>
  <pageMargins left="0.75" right="0.75" top="1" bottom="1" header="0" footer="0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74"/>
  <sheetViews>
    <sheetView workbookViewId="0"/>
  </sheetViews>
  <sheetFormatPr baseColWidth="10" defaultColWidth="8.83203125" defaultRowHeight="15" x14ac:dyDescent="0.2"/>
  <cols>
    <col min="1" max="1" width="30" customWidth="1"/>
    <col min="2" max="2" width="22" customWidth="1"/>
    <col min="3" max="3" width="11" customWidth="1"/>
    <col min="4" max="4" width="62" customWidth="1"/>
    <col min="5" max="6" width="11" customWidth="1"/>
    <col min="7" max="10" width="9" customWidth="1"/>
    <col min="11" max="14" width="13" customWidth="1"/>
    <col min="15" max="15" width="10" customWidth="1"/>
    <col min="16" max="16" width="15" customWidth="1"/>
  </cols>
  <sheetData>
    <row r="1" spans="1:16" ht="17" x14ac:dyDescent="0.2">
      <c r="A1" s="2" t="s">
        <v>241</v>
      </c>
    </row>
    <row r="2" spans="1:16" x14ac:dyDescent="0.2">
      <c r="A2" s="26" t="s">
        <v>242</v>
      </c>
    </row>
    <row r="3" spans="1:16" x14ac:dyDescent="0.2">
      <c r="A3" s="26" t="s">
        <v>243</v>
      </c>
    </row>
    <row r="5" spans="1:16" x14ac:dyDescent="0.2">
      <c r="A5" s="45" t="s">
        <v>244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</row>
    <row r="6" spans="1:16" ht="32" customHeight="1" x14ac:dyDescent="0.2">
      <c r="A6" s="31" t="s">
        <v>245</v>
      </c>
      <c r="B6" s="31" t="s">
        <v>246</v>
      </c>
      <c r="C6" s="31" t="s">
        <v>247</v>
      </c>
      <c r="D6" s="31" t="s">
        <v>248</v>
      </c>
      <c r="E6" s="31" t="s">
        <v>249</v>
      </c>
      <c r="F6" s="31" t="s">
        <v>250</v>
      </c>
    </row>
    <row r="7" spans="1:16" x14ac:dyDescent="0.2">
      <c r="A7" s="32" t="s">
        <v>6</v>
      </c>
      <c r="B7" s="33">
        <f t="shared" ref="B7:B21" si="0">COUNTIF($A$26:$A$74,A7)</f>
        <v>7</v>
      </c>
      <c r="C7" s="33">
        <f t="shared" ref="C7:C21" si="1">COUNTIFS($A$26:$A$74,A7,$P$26:$P$74,"✔ Verificado")</f>
        <v>0</v>
      </c>
      <c r="D7" s="33">
        <f t="shared" ref="D7:D21" si="2">SUMIFS($G$26:$G$74,$A$26:$A$74,A7)+SUMIFS($I$26:$I$74,$A$26:$A$74,A7)</f>
        <v>91</v>
      </c>
      <c r="E7" s="33">
        <f>COUNTIF('Eloy Alfaro (San Felipe)'!$A$15:$A$105,"*F")+COUNTIF('Eloy Alfaro (San Felipe)'!$A$15:$A$105,"*M")</f>
        <v>91</v>
      </c>
      <c r="F7" s="33" t="str">
        <f t="shared" ref="F7:F22" si="3">IF(AND(B7=C7,D7=E7),"✔ Verificado","✖ Revisar")</f>
        <v>✖ Revisar</v>
      </c>
    </row>
    <row r="8" spans="1:16" x14ac:dyDescent="0.2">
      <c r="A8" s="32" t="s">
        <v>8</v>
      </c>
      <c r="B8" s="33">
        <f t="shared" si="0"/>
        <v>5</v>
      </c>
      <c r="C8" s="33">
        <f t="shared" si="1"/>
        <v>0</v>
      </c>
      <c r="D8" s="33">
        <f t="shared" si="2"/>
        <v>55</v>
      </c>
      <c r="E8" s="33">
        <f>COUNTIF('Ignacio Flores'!$A$13:$A$67,"*F")+COUNTIF('Ignacio Flores'!$A$13:$A$67,"*M")</f>
        <v>55</v>
      </c>
      <c r="F8" s="33" t="str">
        <f t="shared" si="3"/>
        <v>✖ Revisar</v>
      </c>
    </row>
    <row r="9" spans="1:16" x14ac:dyDescent="0.2">
      <c r="A9" s="32" t="s">
        <v>9</v>
      </c>
      <c r="B9" s="33">
        <f t="shared" si="0"/>
        <v>5</v>
      </c>
      <c r="C9" s="33">
        <f t="shared" si="1"/>
        <v>0</v>
      </c>
      <c r="D9" s="33">
        <f t="shared" si="2"/>
        <v>48</v>
      </c>
      <c r="E9" s="33">
        <f>COUNTIF('Juan Montalvo (San Sebastián)'!$A$13:$A$60,"*F")+COUNTIF('Juan Montalvo (San Sebastián)'!$A$13:$A$60,"*M")</f>
        <v>48</v>
      </c>
      <c r="F9" s="33" t="str">
        <f t="shared" si="3"/>
        <v>✖ Revisar</v>
      </c>
    </row>
    <row r="10" spans="1:16" x14ac:dyDescent="0.2">
      <c r="A10" s="32" t="s">
        <v>10</v>
      </c>
      <c r="B10" s="33">
        <f t="shared" si="0"/>
        <v>8</v>
      </c>
      <c r="C10" s="33">
        <f t="shared" si="1"/>
        <v>0</v>
      </c>
      <c r="D10" s="33">
        <f t="shared" si="2"/>
        <v>76</v>
      </c>
      <c r="E10" s="33">
        <f>COUNTIF('La Matriz'!$A$16:$A$91,"*F")+COUNTIF('La Matriz'!$A$16:$A$91,"*M")</f>
        <v>76</v>
      </c>
      <c r="F10" s="33" t="str">
        <f t="shared" si="3"/>
        <v>✖ Revisar</v>
      </c>
    </row>
    <row r="11" spans="1:16" x14ac:dyDescent="0.2">
      <c r="A11" s="32" t="s">
        <v>11</v>
      </c>
      <c r="B11" s="33">
        <f t="shared" si="0"/>
        <v>2</v>
      </c>
      <c r="C11" s="33">
        <f t="shared" si="1"/>
        <v>0</v>
      </c>
      <c r="D11" s="33">
        <f t="shared" si="2"/>
        <v>17</v>
      </c>
      <c r="E11" s="33">
        <f>COUNTIF('San Buenaventura'!$A$10:$A$26,"*F")+COUNTIF('San Buenaventura'!$A$10:$A$26,"*M")</f>
        <v>17</v>
      </c>
      <c r="F11" s="33" t="str">
        <f t="shared" si="3"/>
        <v>✖ Revisar</v>
      </c>
    </row>
    <row r="12" spans="1:16" x14ac:dyDescent="0.2">
      <c r="A12" s="32" t="s">
        <v>12</v>
      </c>
      <c r="B12" s="33">
        <f t="shared" si="0"/>
        <v>2</v>
      </c>
      <c r="C12" s="33">
        <f t="shared" si="1"/>
        <v>0</v>
      </c>
      <c r="D12" s="33">
        <f t="shared" si="2"/>
        <v>19</v>
      </c>
      <c r="E12" s="33">
        <f>COUNTIF(Aláquez!$A$10:$A$28,"*F")+COUNTIF(Aláquez!$A$10:$A$28,"*M")</f>
        <v>19</v>
      </c>
      <c r="F12" s="33" t="str">
        <f t="shared" si="3"/>
        <v>✖ Revisar</v>
      </c>
    </row>
    <row r="13" spans="1:16" x14ac:dyDescent="0.2">
      <c r="A13" s="32" t="s">
        <v>14</v>
      </c>
      <c r="B13" s="33">
        <f t="shared" si="0"/>
        <v>2</v>
      </c>
      <c r="C13" s="33">
        <f t="shared" si="1"/>
        <v>0</v>
      </c>
      <c r="D13" s="33">
        <f t="shared" si="2"/>
        <v>15</v>
      </c>
      <c r="E13" s="33">
        <f>COUNTIF('Belisario Quevedo'!$A$10:$A$24,"*F")+COUNTIF('Belisario Quevedo'!$A$10:$A$24,"*M")</f>
        <v>15</v>
      </c>
      <c r="F13" s="33" t="str">
        <f t="shared" si="3"/>
        <v>✖ Revisar</v>
      </c>
    </row>
    <row r="14" spans="1:16" x14ac:dyDescent="0.2">
      <c r="A14" s="32" t="s">
        <v>15</v>
      </c>
      <c r="B14" s="33">
        <f t="shared" si="0"/>
        <v>1</v>
      </c>
      <c r="C14" s="33">
        <f t="shared" si="1"/>
        <v>0</v>
      </c>
      <c r="D14" s="33">
        <f t="shared" si="2"/>
        <v>25</v>
      </c>
      <c r="E14" s="33">
        <f>COUNTIF(Guaytacama!$A$9:$A$33,"*F")+COUNTIF(Guaytacama!$A$9:$A$33,"*M")</f>
        <v>25</v>
      </c>
      <c r="F14" s="33" t="str">
        <f t="shared" si="3"/>
        <v>✖ Revisar</v>
      </c>
    </row>
    <row r="15" spans="1:16" x14ac:dyDescent="0.2">
      <c r="A15" s="32" t="s">
        <v>251</v>
      </c>
      <c r="B15" s="33">
        <f t="shared" si="0"/>
        <v>1</v>
      </c>
      <c r="C15" s="33">
        <f t="shared" si="1"/>
        <v>0</v>
      </c>
      <c r="D15" s="33">
        <f t="shared" si="2"/>
        <v>6</v>
      </c>
      <c r="E15" s="33">
        <f>COUNTIF('Joséguango Bajo (Santa Marianit'!$A$9:$A$14,"*F")+COUNTIF('Joséguango Bajo (Santa Marianit'!$A$9:$A$14,"*M")</f>
        <v>6</v>
      </c>
      <c r="F15" s="33" t="str">
        <f t="shared" si="3"/>
        <v>✖ Revisar</v>
      </c>
    </row>
    <row r="16" spans="1:16" x14ac:dyDescent="0.2">
      <c r="A16" s="32" t="s">
        <v>17</v>
      </c>
      <c r="B16" s="33">
        <f t="shared" si="0"/>
        <v>3</v>
      </c>
      <c r="C16" s="33">
        <f t="shared" si="1"/>
        <v>0</v>
      </c>
      <c r="D16" s="33">
        <f t="shared" si="2"/>
        <v>23</v>
      </c>
      <c r="E16" s="33">
        <f>COUNTIF(Mulaló!$A$11:$A$33,"*F")+COUNTIF(Mulaló!$A$11:$A$33,"*M")</f>
        <v>23</v>
      </c>
      <c r="F16" s="33" t="str">
        <f t="shared" si="3"/>
        <v>✖ Revisar</v>
      </c>
    </row>
    <row r="17" spans="1:16" x14ac:dyDescent="0.2">
      <c r="A17" s="32" t="s">
        <v>18</v>
      </c>
      <c r="B17" s="33">
        <f t="shared" si="0"/>
        <v>1</v>
      </c>
      <c r="C17" s="33">
        <f t="shared" si="1"/>
        <v>0</v>
      </c>
      <c r="D17" s="33">
        <f t="shared" si="2"/>
        <v>7</v>
      </c>
      <c r="E17" s="33">
        <f>COUNTIF('Once de Noviembre (Ilinchisí)'!$A$9:$A$15,"*F")+COUNTIF('Once de Noviembre (Ilinchisí)'!$A$9:$A$15,"*M")</f>
        <v>7</v>
      </c>
      <c r="F17" s="33" t="str">
        <f t="shared" si="3"/>
        <v>✖ Revisar</v>
      </c>
    </row>
    <row r="18" spans="1:16" x14ac:dyDescent="0.2">
      <c r="A18" s="32" t="s">
        <v>19</v>
      </c>
      <c r="B18" s="33">
        <f t="shared" si="0"/>
        <v>2</v>
      </c>
      <c r="C18" s="33">
        <f t="shared" si="1"/>
        <v>0</v>
      </c>
      <c r="D18" s="33">
        <f t="shared" si="2"/>
        <v>15</v>
      </c>
      <c r="E18" s="33">
        <f>COUNTIF(Poaló!$A$10:$A$24,"*F")+COUNTIF(Poaló!$A$10:$A$24,"*M")</f>
        <v>15</v>
      </c>
      <c r="F18" s="33" t="str">
        <f t="shared" si="3"/>
        <v>✖ Revisar</v>
      </c>
    </row>
    <row r="19" spans="1:16" x14ac:dyDescent="0.2">
      <c r="A19" s="32" t="s">
        <v>20</v>
      </c>
      <c r="B19" s="33">
        <f t="shared" si="0"/>
        <v>4</v>
      </c>
      <c r="C19" s="33">
        <f t="shared" si="1"/>
        <v>0</v>
      </c>
      <c r="D19" s="33">
        <f t="shared" si="2"/>
        <v>29</v>
      </c>
      <c r="E19" s="33">
        <f>COUNTIF('San Juan de Pastocalle'!$A$12:$A$40,"*F")+COUNTIF('San Juan de Pastocalle'!$A$12:$A$40,"*M")</f>
        <v>29</v>
      </c>
      <c r="F19" s="33" t="str">
        <f t="shared" si="3"/>
        <v>✖ Revisar</v>
      </c>
    </row>
    <row r="20" spans="1:16" x14ac:dyDescent="0.2">
      <c r="A20" s="32" t="s">
        <v>21</v>
      </c>
      <c r="B20" s="33">
        <f t="shared" si="0"/>
        <v>3</v>
      </c>
      <c r="C20" s="33">
        <f t="shared" si="1"/>
        <v>0</v>
      </c>
      <c r="D20" s="33">
        <f t="shared" si="2"/>
        <v>35</v>
      </c>
      <c r="E20" s="33">
        <f>COUNTIF(Tanicuchí!$A$11:$A$45,"*F")+COUNTIF(Tanicuchí!$A$11:$A$45,"*M")</f>
        <v>35</v>
      </c>
      <c r="F20" s="33" t="str">
        <f t="shared" si="3"/>
        <v>✖ Revisar</v>
      </c>
    </row>
    <row r="21" spans="1:16" x14ac:dyDescent="0.2">
      <c r="A21" s="32" t="s">
        <v>22</v>
      </c>
      <c r="B21" s="33">
        <f t="shared" si="0"/>
        <v>3</v>
      </c>
      <c r="C21" s="33">
        <f t="shared" si="1"/>
        <v>0</v>
      </c>
      <c r="D21" s="33">
        <f t="shared" si="2"/>
        <v>31</v>
      </c>
      <c r="E21" s="33">
        <f>COUNTIF(Toacaso!$A$11:$A$41,"*F")+COUNTIF(Toacaso!$A$11:$A$41,"*M")</f>
        <v>31</v>
      </c>
      <c r="F21" s="33" t="str">
        <f t="shared" si="3"/>
        <v>✖ Revisar</v>
      </c>
    </row>
    <row r="22" spans="1:16" x14ac:dyDescent="0.2">
      <c r="A22" s="34" t="s">
        <v>23</v>
      </c>
      <c r="B22" s="35">
        <f>SUM(B7:B21)</f>
        <v>49</v>
      </c>
      <c r="C22" s="35">
        <f>SUM(C7:C21)</f>
        <v>0</v>
      </c>
      <c r="D22" s="35">
        <f>SUM(D7:D21)</f>
        <v>492</v>
      </c>
      <c r="E22" s="35">
        <f>SUM(E7:E21)</f>
        <v>492</v>
      </c>
      <c r="F22" s="35" t="str">
        <f t="shared" si="3"/>
        <v>✖ Revisar</v>
      </c>
    </row>
    <row r="24" spans="1:16" x14ac:dyDescent="0.2">
      <c r="A24" s="45" t="s">
        <v>252</v>
      </c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</row>
    <row r="25" spans="1:16" ht="32" customHeight="1" x14ac:dyDescent="0.2">
      <c r="A25" s="31" t="s">
        <v>245</v>
      </c>
      <c r="B25" s="31" t="s">
        <v>253</v>
      </c>
      <c r="C25" s="31" t="s">
        <v>254</v>
      </c>
      <c r="D25" s="31" t="s">
        <v>28</v>
      </c>
      <c r="E25" s="31" t="s">
        <v>255</v>
      </c>
      <c r="F25" s="31" t="s">
        <v>256</v>
      </c>
      <c r="G25" s="31" t="s">
        <v>257</v>
      </c>
      <c r="H25" s="31" t="s">
        <v>258</v>
      </c>
      <c r="I25" s="31" t="s">
        <v>259</v>
      </c>
      <c r="J25" s="31" t="s">
        <v>260</v>
      </c>
      <c r="K25" s="31" t="s">
        <v>261</v>
      </c>
      <c r="L25" s="31" t="s">
        <v>262</v>
      </c>
      <c r="M25" s="31" t="s">
        <v>263</v>
      </c>
      <c r="N25" s="31" t="s">
        <v>264</v>
      </c>
      <c r="O25" s="31" t="s">
        <v>265</v>
      </c>
      <c r="P25" s="31" t="s">
        <v>250</v>
      </c>
    </row>
    <row r="26" spans="1:16" x14ac:dyDescent="0.2">
      <c r="A26" s="32" t="s">
        <v>6</v>
      </c>
      <c r="B26" s="33" t="s">
        <v>266</v>
      </c>
      <c r="C26" s="33">
        <v>1560</v>
      </c>
      <c r="D26" s="32" t="s">
        <v>36</v>
      </c>
      <c r="E26" s="33">
        <v>4200</v>
      </c>
      <c r="F26" s="33">
        <f>SUMIFS('Eloy Alfaro (San Felipe)'!$E$5:$E$11,'Eloy Alfaro (San Felipe)'!$B$5:$B$11,D26)</f>
        <v>4200</v>
      </c>
      <c r="G26" s="33">
        <v>7</v>
      </c>
      <c r="H26" s="33">
        <f>COUNTIFS('Eloy Alfaro (San Felipe)'!$B$15:$B$105,D26,'Eloy Alfaro (San Felipe)'!$A$15:$A$105,"*F")</f>
        <v>7</v>
      </c>
      <c r="I26" s="33">
        <v>5</v>
      </c>
      <c r="J26" s="33">
        <f>COUNTIFS('Eloy Alfaro (San Felipe)'!$B$15:$B$105,D26,'Eloy Alfaro (San Felipe)'!$A$15:$A$105,"*M")</f>
        <v>5</v>
      </c>
      <c r="K26" s="33" t="s">
        <v>267</v>
      </c>
      <c r="L26" s="33" t="str">
        <f>IFERROR(IF(H26=0,"—",(1000-SUMPRODUCT(MAX(('Eloy Alfaro (San Felipe)'!$B$15:$B$105=D26)*(RIGHT('Eloy Alfaro (San Felipe)'!$A$15:$A$105,1)="F")*(1000-VALUE("0"&amp;SUBSTITUTE(SUBSTITUTE(UPPER('Eloy Alfaro (San Felipe)'!$A$15:$A$105),"F",""),"M",""))))))&amp;"F – "&amp;SUMPRODUCT(MAX(('Eloy Alfaro (San Felipe)'!$B$15:$B$105=D26)*(RIGHT('Eloy Alfaro (San Felipe)'!$A$15:$A$105,1)="F")*VALUE("0"&amp;SUBSTITUTE(SUBSTITUTE(UPPER('Eloy Alfaro (San Felipe)'!$A$15:$A$105),"F",""),"M",""))))&amp;"F"),"✖ error")</f>
        <v>1000F – 0F</v>
      </c>
      <c r="M26" s="33" t="s">
        <v>268</v>
      </c>
      <c r="N26" s="33" t="str">
        <f>IFERROR(IF(J26=0,"—",(1000-SUMPRODUCT(MAX(('Eloy Alfaro (San Felipe)'!$B$15:$B$105=D26)*(RIGHT('Eloy Alfaro (San Felipe)'!$A$15:$A$105,1)="M")*(1000-VALUE("0"&amp;SUBSTITUTE(SUBSTITUTE(UPPER('Eloy Alfaro (San Felipe)'!$A$15:$A$105),"F",""),"M",""))))))&amp;"M – "&amp;SUMPRODUCT(MAX(('Eloy Alfaro (San Felipe)'!$B$15:$B$105=D26)*(RIGHT('Eloy Alfaro (San Felipe)'!$A$15:$A$105,1)="M")*VALUE("0"&amp;SUBSTITUTE(SUBSTITUTE(UPPER('Eloy Alfaro (San Felipe)'!$A$15:$A$105),"F",""),"M",""))))&amp;"M"),"✖ error")</f>
        <v>5M – 5M</v>
      </c>
      <c r="O26" s="33">
        <v>12</v>
      </c>
      <c r="P26" s="33" t="str">
        <f>IFERROR(IF(AND(E26=F26,G26=H26,I26=J26,K26=L26,M26=N26,SUMPRODUCT(('Eloy Alfaro (San Felipe)'!$B$15:$B$105=D26)*(RIGHT('Eloy Alfaro (San Felipe)'!$A$15:$A$105,1)="F"))=7,SUMPRODUCT(('Eloy Alfaro (San Felipe)'!$B$15:$B$105=D26)*(RIGHT('Eloy Alfaro (San Felipe)'!$A$15:$A$105,1)="F")*VALUE("0"&amp;SUBSTITUTE(SUBSTITUTE(UPPER('Eloy Alfaro (San Felipe)'!$A$15:$A$105),"F",""),"M","")))=28,SUMPRODUCT(('Eloy Alfaro (San Felipe)'!$B$15:$B$105=D26)*(RIGHT('Eloy Alfaro (San Felipe)'!$A$15:$A$105,1)="F")*VALUE("0"&amp;SUBSTITUTE(SUBSTITUTE(UPPER('Eloy Alfaro (San Felipe)'!$A$15:$A$105),"F",""),"M",""))^2)=140,SUMPRODUCT(('Eloy Alfaro (San Felipe)'!$B$15:$B$105=D26)*(RIGHT('Eloy Alfaro (San Felipe)'!$A$15:$A$105,1)="M"))=5,SUMPRODUCT(('Eloy Alfaro (San Felipe)'!$B$15:$B$105=D26)*(RIGHT('Eloy Alfaro (San Felipe)'!$A$15:$A$105,1)="M")*VALUE("0"&amp;SUBSTITUTE(SUBSTITUTE(UPPER('Eloy Alfaro (San Felipe)'!$A$15:$A$105),"F",""),"M","")))=15,SUMPRODUCT(('Eloy Alfaro (San Felipe)'!$B$15:$B$105=D26)*(RIGHT('Eloy Alfaro (San Felipe)'!$A$15:$A$105,1)="M")*VALUE("0"&amp;SUBSTITUTE(SUBSTITUTE(UPPER('Eloy Alfaro (San Felipe)'!$A$15:$A$105),"F",""),"M",""))^2)=55),"✔ Verificado","✖ Revisar"),"✖ Revisar")</f>
        <v>✖ Revisar</v>
      </c>
    </row>
    <row r="27" spans="1:16" x14ac:dyDescent="0.2">
      <c r="A27" s="32" t="s">
        <v>6</v>
      </c>
      <c r="B27" s="33" t="s">
        <v>266</v>
      </c>
      <c r="C27" s="33">
        <v>324</v>
      </c>
      <c r="D27" s="32" t="s">
        <v>38</v>
      </c>
      <c r="E27" s="33">
        <v>4200</v>
      </c>
      <c r="F27" s="33">
        <f>SUMIFS('Eloy Alfaro (San Felipe)'!$E$5:$E$11,'Eloy Alfaro (San Felipe)'!$B$5:$B$11,D27)</f>
        <v>4200</v>
      </c>
      <c r="G27" s="33">
        <v>6</v>
      </c>
      <c r="H27" s="33">
        <f>COUNTIFS('Eloy Alfaro (San Felipe)'!$B$15:$B$105,D27,'Eloy Alfaro (San Felipe)'!$A$15:$A$105,"*F")</f>
        <v>6</v>
      </c>
      <c r="I27" s="33">
        <v>6</v>
      </c>
      <c r="J27" s="33">
        <f>COUNTIFS('Eloy Alfaro (San Felipe)'!$B$15:$B$105,D27,'Eloy Alfaro (San Felipe)'!$A$15:$A$105,"*M")</f>
        <v>6</v>
      </c>
      <c r="K27" s="33" t="s">
        <v>269</v>
      </c>
      <c r="L27" s="33" t="str">
        <f>IFERROR(IF(H27=0,"—",(1000-SUMPRODUCT(MAX(('Eloy Alfaro (San Felipe)'!$B$15:$B$105=D27)*(RIGHT('Eloy Alfaro (San Felipe)'!$A$15:$A$105,1)="F")*(1000-VALUE("0"&amp;SUBSTITUTE(SUBSTITUTE(UPPER('Eloy Alfaro (San Felipe)'!$A$15:$A$105),"F",""),"M",""))))))&amp;"F – "&amp;SUMPRODUCT(MAX(('Eloy Alfaro (San Felipe)'!$B$15:$B$105=D27)*(RIGHT('Eloy Alfaro (San Felipe)'!$A$15:$A$105,1)="F")*VALUE("0"&amp;SUBSTITUTE(SUBSTITUTE(UPPER('Eloy Alfaro (San Felipe)'!$A$15:$A$105),"F",""),"M",""))))&amp;"F"),"✖ error")</f>
        <v>8F – 8F</v>
      </c>
      <c r="M27" s="33" t="s">
        <v>270</v>
      </c>
      <c r="N27" s="33" t="str">
        <f>IFERROR(IF(J27=0,"—",(1000-SUMPRODUCT(MAX(('Eloy Alfaro (San Felipe)'!$B$15:$B$105=D27)*(RIGHT('Eloy Alfaro (San Felipe)'!$A$15:$A$105,1)="M")*(1000-VALUE("0"&amp;SUBSTITUTE(SUBSTITUTE(UPPER('Eloy Alfaro (San Felipe)'!$A$15:$A$105),"F",""),"M",""))))))&amp;"M – "&amp;SUMPRODUCT(MAX(('Eloy Alfaro (San Felipe)'!$B$15:$B$105=D27)*(RIGHT('Eloy Alfaro (San Felipe)'!$A$15:$A$105,1)="M")*VALUE("0"&amp;SUBSTITUTE(SUBSTITUTE(UPPER('Eloy Alfaro (San Felipe)'!$A$15:$A$105),"F",""),"M",""))))&amp;"M"),"✖ error")</f>
        <v>1000M – 0M</v>
      </c>
      <c r="O27" s="33">
        <v>12</v>
      </c>
      <c r="P27" s="33" t="str">
        <f>IFERROR(IF(AND(E27=F27,G27=H27,I27=J27,K27=L27,M27=N27,SUMPRODUCT(('Eloy Alfaro (San Felipe)'!$B$15:$B$105=D27)*(RIGHT('Eloy Alfaro (San Felipe)'!$A$15:$A$105,1)="F"))=6,SUMPRODUCT(('Eloy Alfaro (San Felipe)'!$B$15:$B$105=D27)*(RIGHT('Eloy Alfaro (San Felipe)'!$A$15:$A$105,1)="F")*VALUE("0"&amp;SUBSTITUTE(SUBSTITUTE(UPPER('Eloy Alfaro (San Felipe)'!$A$15:$A$105),"F",""),"M","")))=63,SUMPRODUCT(('Eloy Alfaro (San Felipe)'!$B$15:$B$105=D27)*(RIGHT('Eloy Alfaro (San Felipe)'!$A$15:$A$105,1)="F")*VALUE("0"&amp;SUBSTITUTE(SUBSTITUTE(UPPER('Eloy Alfaro (San Felipe)'!$A$15:$A$105),"F",""),"M",""))^2)=679,SUMPRODUCT(('Eloy Alfaro (San Felipe)'!$B$15:$B$105=D27)*(RIGHT('Eloy Alfaro (San Felipe)'!$A$15:$A$105,1)="M"))=6,SUMPRODUCT(('Eloy Alfaro (San Felipe)'!$B$15:$B$105=D27)*(RIGHT('Eloy Alfaro (San Felipe)'!$A$15:$A$105,1)="M")*VALUE("0"&amp;SUBSTITUTE(SUBSTITUTE(UPPER('Eloy Alfaro (San Felipe)'!$A$15:$A$105),"F",""),"M","")))=51,SUMPRODUCT(('Eloy Alfaro (San Felipe)'!$B$15:$B$105=D27)*(RIGHT('Eloy Alfaro (San Felipe)'!$A$15:$A$105,1)="M")*VALUE("0"&amp;SUBSTITUTE(SUBSTITUTE(UPPER('Eloy Alfaro (San Felipe)'!$A$15:$A$105),"F",""),"M",""))^2)=451),"✔ Verificado","✖ Revisar"),"✖ Revisar")</f>
        <v>✖ Revisar</v>
      </c>
    </row>
    <row r="28" spans="1:16" x14ac:dyDescent="0.2">
      <c r="A28" s="32" t="s">
        <v>6</v>
      </c>
      <c r="B28" s="33" t="s">
        <v>266</v>
      </c>
      <c r="C28" s="33">
        <v>6331</v>
      </c>
      <c r="D28" s="32" t="s">
        <v>40</v>
      </c>
      <c r="E28" s="33">
        <v>4550</v>
      </c>
      <c r="F28" s="33">
        <f>SUMIFS('Eloy Alfaro (San Felipe)'!$E$5:$E$11,'Eloy Alfaro (San Felipe)'!$B$5:$B$11,D28)</f>
        <v>4550</v>
      </c>
      <c r="G28" s="33">
        <v>7</v>
      </c>
      <c r="H28" s="33">
        <f>COUNTIFS('Eloy Alfaro (San Felipe)'!$B$15:$B$105,D28,'Eloy Alfaro (San Felipe)'!$A$15:$A$105,"*F")</f>
        <v>7</v>
      </c>
      <c r="I28" s="33">
        <v>6</v>
      </c>
      <c r="J28" s="33">
        <f>COUNTIFS('Eloy Alfaro (San Felipe)'!$B$15:$B$105,D28,'Eloy Alfaro (San Felipe)'!$A$15:$A$105,"*M")</f>
        <v>6</v>
      </c>
      <c r="K28" s="33" t="s">
        <v>271</v>
      </c>
      <c r="L28" s="33" t="str">
        <f>IFERROR(IF(H28=0,"—",(1000-SUMPRODUCT(MAX(('Eloy Alfaro (San Felipe)'!$B$15:$B$105=D28)*(RIGHT('Eloy Alfaro (San Felipe)'!$A$15:$A$105,1)="F")*(1000-VALUE("0"&amp;SUBSTITUTE(SUBSTITUTE(UPPER('Eloy Alfaro (San Felipe)'!$A$15:$A$105),"F",""),"M",""))))))&amp;"F – "&amp;SUMPRODUCT(MAX(('Eloy Alfaro (San Felipe)'!$B$15:$B$105=D28)*(RIGHT('Eloy Alfaro (San Felipe)'!$A$15:$A$105,1)="F")*VALUE("0"&amp;SUBSTITUTE(SUBSTITUTE(UPPER('Eloy Alfaro (San Felipe)'!$A$15:$A$105),"F",""),"M",""))))&amp;"F"),"✖ error")</f>
        <v>9F – 9F</v>
      </c>
      <c r="M28" s="33" t="s">
        <v>272</v>
      </c>
      <c r="N28" s="33" t="str">
        <f>IFERROR(IF(J28=0,"—",(1000-SUMPRODUCT(MAX(('Eloy Alfaro (San Felipe)'!$B$15:$B$105=D28)*(RIGHT('Eloy Alfaro (San Felipe)'!$A$15:$A$105,1)="M")*(1000-VALUE("0"&amp;SUBSTITUTE(SUBSTITUTE(UPPER('Eloy Alfaro (San Felipe)'!$A$15:$A$105),"F",""),"M",""))))))&amp;"M – "&amp;SUMPRODUCT(MAX(('Eloy Alfaro (San Felipe)'!$B$15:$B$105=D28)*(RIGHT('Eloy Alfaro (San Felipe)'!$A$15:$A$105,1)="M")*VALUE("0"&amp;SUBSTITUTE(SUBSTITUTE(UPPER('Eloy Alfaro (San Felipe)'!$A$15:$A$105),"F",""),"M",""))))&amp;"M"),"✖ error")</f>
        <v>1000M – 0M</v>
      </c>
      <c r="O28" s="33">
        <v>13</v>
      </c>
      <c r="P28" s="33" t="str">
        <f>IFERROR(IF(AND(E28=F28,G28=H28,I28=J28,K28=L28,M28=N28,SUMPRODUCT(('Eloy Alfaro (San Felipe)'!$B$15:$B$105=D28)*(RIGHT('Eloy Alfaro (San Felipe)'!$A$15:$A$105,1)="F"))=7,SUMPRODUCT(('Eloy Alfaro (San Felipe)'!$B$15:$B$105=D28)*(RIGHT('Eloy Alfaro (San Felipe)'!$A$15:$A$105,1)="F")*VALUE("0"&amp;SUBSTITUTE(SUBSTITUTE(UPPER('Eloy Alfaro (San Felipe)'!$A$15:$A$105),"F",""),"M","")))=119,SUMPRODUCT(('Eloy Alfaro (San Felipe)'!$B$15:$B$105=D28)*(RIGHT('Eloy Alfaro (San Felipe)'!$A$15:$A$105,1)="F")*VALUE("0"&amp;SUBSTITUTE(SUBSTITUTE(UPPER('Eloy Alfaro (San Felipe)'!$A$15:$A$105),"F",""),"M",""))^2)=2051,SUMPRODUCT(('Eloy Alfaro (San Felipe)'!$B$15:$B$105=D28)*(RIGHT('Eloy Alfaro (San Felipe)'!$A$15:$A$105,1)="M"))=6,SUMPRODUCT(('Eloy Alfaro (San Felipe)'!$B$15:$B$105=D28)*(RIGHT('Eloy Alfaro (San Felipe)'!$A$15:$A$105,1)="M")*VALUE("0"&amp;SUBSTITUTE(SUBSTITUTE(UPPER('Eloy Alfaro (San Felipe)'!$A$15:$A$105),"F",""),"M","")))=87,SUMPRODUCT(('Eloy Alfaro (San Felipe)'!$B$15:$B$105=D28)*(RIGHT('Eloy Alfaro (San Felipe)'!$A$15:$A$105,1)="M")*VALUE("0"&amp;SUBSTITUTE(SUBSTITUTE(UPPER('Eloy Alfaro (San Felipe)'!$A$15:$A$105),"F",""),"M",""))^2)=1279),"✔ Verificado","✖ Revisar"),"✖ Revisar")</f>
        <v>✖ Revisar</v>
      </c>
    </row>
    <row r="29" spans="1:16" x14ac:dyDescent="0.2">
      <c r="A29" s="32" t="s">
        <v>6</v>
      </c>
      <c r="B29" s="33" t="s">
        <v>266</v>
      </c>
      <c r="C29" s="33">
        <v>406</v>
      </c>
      <c r="D29" s="32" t="s">
        <v>42</v>
      </c>
      <c r="E29" s="33">
        <v>4200</v>
      </c>
      <c r="F29" s="33">
        <f>SUMIFS('Eloy Alfaro (San Felipe)'!$E$5:$E$11,'Eloy Alfaro (San Felipe)'!$B$5:$B$11,D29)</f>
        <v>4200</v>
      </c>
      <c r="G29" s="33">
        <v>6</v>
      </c>
      <c r="H29" s="33">
        <f>COUNTIFS('Eloy Alfaro (San Felipe)'!$B$15:$B$105,D29,'Eloy Alfaro (San Felipe)'!$A$15:$A$105,"*F")</f>
        <v>6</v>
      </c>
      <c r="I29" s="33">
        <v>6</v>
      </c>
      <c r="J29" s="33">
        <f>COUNTIFS('Eloy Alfaro (San Felipe)'!$B$15:$B$105,D29,'Eloy Alfaro (San Felipe)'!$A$15:$A$105,"*M")</f>
        <v>6</v>
      </c>
      <c r="K29" s="33" t="s">
        <v>273</v>
      </c>
      <c r="L29" s="33" t="str">
        <f>IFERROR(IF(H29=0,"—",(1000-SUMPRODUCT(MAX(('Eloy Alfaro (San Felipe)'!$B$15:$B$105=D29)*(RIGHT('Eloy Alfaro (San Felipe)'!$A$15:$A$105,1)="F")*(1000-VALUE("0"&amp;SUBSTITUTE(SUBSTITUTE(UPPER('Eloy Alfaro (San Felipe)'!$A$15:$A$105),"F",""),"M",""))))))&amp;"F – "&amp;SUMPRODUCT(MAX(('Eloy Alfaro (San Felipe)'!$B$15:$B$105=D29)*(RIGHT('Eloy Alfaro (San Felipe)'!$A$15:$A$105,1)="F")*VALUE("0"&amp;SUBSTITUTE(SUBSTITUTE(UPPER('Eloy Alfaro (San Felipe)'!$A$15:$A$105),"F",""),"M",""))))&amp;"F"),"✖ error")</f>
        <v>10F – 10F</v>
      </c>
      <c r="M29" s="33" t="s">
        <v>274</v>
      </c>
      <c r="N29" s="33" t="str">
        <f>IFERROR(IF(J29=0,"—",(1000-SUMPRODUCT(MAX(('Eloy Alfaro (San Felipe)'!$B$15:$B$105=D29)*(RIGHT('Eloy Alfaro (San Felipe)'!$A$15:$A$105,1)="M")*(1000-VALUE("0"&amp;SUBSTITUTE(SUBSTITUTE(UPPER('Eloy Alfaro (San Felipe)'!$A$15:$A$105),"F",""),"M",""))))))&amp;"M – "&amp;SUMPRODUCT(MAX(('Eloy Alfaro (San Felipe)'!$B$15:$B$105=D29)*(RIGHT('Eloy Alfaro (San Felipe)'!$A$15:$A$105,1)="M")*VALUE("0"&amp;SUBSTITUTE(SUBSTITUTE(UPPER('Eloy Alfaro (San Felipe)'!$A$15:$A$105),"F",""),"M",""))))&amp;"M"),"✖ error")</f>
        <v>1000M – 0M</v>
      </c>
      <c r="O29" s="33">
        <v>12</v>
      </c>
      <c r="P29" s="33" t="str">
        <f>IFERROR(IF(AND(E29=F29,G29=H29,I29=J29,K29=L29,M29=N29,SUMPRODUCT(('Eloy Alfaro (San Felipe)'!$B$15:$B$105=D29)*(RIGHT('Eloy Alfaro (San Felipe)'!$A$15:$A$105,1)="F"))=6,SUMPRODUCT(('Eloy Alfaro (San Felipe)'!$B$15:$B$105=D29)*(RIGHT('Eloy Alfaro (San Felipe)'!$A$15:$A$105,1)="F")*VALUE("0"&amp;SUBSTITUTE(SUBSTITUTE(UPPER('Eloy Alfaro (San Felipe)'!$A$15:$A$105),"F",""),"M","")))=141,SUMPRODUCT(('Eloy Alfaro (San Felipe)'!$B$15:$B$105=D29)*(RIGHT('Eloy Alfaro (San Felipe)'!$A$15:$A$105,1)="F")*VALUE("0"&amp;SUBSTITUTE(SUBSTITUTE(UPPER('Eloy Alfaro (San Felipe)'!$A$15:$A$105),"F",""),"M",""))^2)=3331,SUMPRODUCT(('Eloy Alfaro (San Felipe)'!$B$15:$B$105=D29)*(RIGHT('Eloy Alfaro (San Felipe)'!$A$15:$A$105,1)="M"))=6,SUMPRODUCT(('Eloy Alfaro (San Felipe)'!$B$15:$B$105=D29)*(RIGHT('Eloy Alfaro (San Felipe)'!$A$15:$A$105,1)="M")*VALUE("0"&amp;SUBSTITUTE(SUBSTITUTE(UPPER('Eloy Alfaro (San Felipe)'!$A$15:$A$105),"F",""),"M","")))=123,SUMPRODUCT(('Eloy Alfaro (San Felipe)'!$B$15:$B$105=D29)*(RIGHT('Eloy Alfaro (San Felipe)'!$A$15:$A$105,1)="M")*VALUE("0"&amp;SUBSTITUTE(SUBSTITUTE(UPPER('Eloy Alfaro (San Felipe)'!$A$15:$A$105),"F",""),"M",""))^2)=2539),"✔ Verificado","✖ Revisar"),"✖ Revisar")</f>
        <v>✖ Revisar</v>
      </c>
    </row>
    <row r="30" spans="1:16" x14ac:dyDescent="0.2">
      <c r="A30" s="32" t="s">
        <v>6</v>
      </c>
      <c r="B30" s="33" t="s">
        <v>266</v>
      </c>
      <c r="C30" s="33">
        <v>8015</v>
      </c>
      <c r="D30" s="32" t="s">
        <v>44</v>
      </c>
      <c r="E30" s="33">
        <v>2800</v>
      </c>
      <c r="F30" s="33">
        <f>SUMIFS('Eloy Alfaro (San Felipe)'!$E$5:$E$11,'Eloy Alfaro (San Felipe)'!$B$5:$B$11,D30)</f>
        <v>2800</v>
      </c>
      <c r="G30" s="33">
        <v>4</v>
      </c>
      <c r="H30" s="33">
        <f>COUNTIFS('Eloy Alfaro (San Felipe)'!$B$15:$B$105,D30,'Eloy Alfaro (San Felipe)'!$A$15:$A$105,"*F")</f>
        <v>4</v>
      </c>
      <c r="I30" s="33">
        <v>4</v>
      </c>
      <c r="J30" s="33">
        <f>COUNTIFS('Eloy Alfaro (San Felipe)'!$B$15:$B$105,D30,'Eloy Alfaro (San Felipe)'!$A$15:$A$105,"*M")</f>
        <v>4</v>
      </c>
      <c r="K30" s="33" t="s">
        <v>275</v>
      </c>
      <c r="L30" s="33" t="str">
        <f>IFERROR(IF(H30=0,"—",(1000-SUMPRODUCT(MAX(('Eloy Alfaro (San Felipe)'!$B$15:$B$105=D30)*(RIGHT('Eloy Alfaro (San Felipe)'!$A$15:$A$105,1)="F")*(1000-VALUE("0"&amp;SUBSTITUTE(SUBSTITUTE(UPPER('Eloy Alfaro (San Felipe)'!$A$15:$A$105),"F",""),"M",""))))))&amp;"F – "&amp;SUMPRODUCT(MAX(('Eloy Alfaro (San Felipe)'!$B$15:$B$105=D30)*(RIGHT('Eloy Alfaro (San Felipe)'!$A$15:$A$105,1)="F")*VALUE("0"&amp;SUBSTITUTE(SUBSTITUTE(UPPER('Eloy Alfaro (San Felipe)'!$A$15:$A$105),"F",""),"M",""))))&amp;"F"),"✖ error")</f>
        <v>11F – 11F</v>
      </c>
      <c r="M30" s="33" t="s">
        <v>276</v>
      </c>
      <c r="N30" s="33" t="str">
        <f>IFERROR(IF(J30=0,"—",(1000-SUMPRODUCT(MAX(('Eloy Alfaro (San Felipe)'!$B$15:$B$105=D30)*(RIGHT('Eloy Alfaro (San Felipe)'!$A$15:$A$105,1)="M")*(1000-VALUE("0"&amp;SUBSTITUTE(SUBSTITUTE(UPPER('Eloy Alfaro (San Felipe)'!$A$15:$A$105),"F",""),"M",""))))))&amp;"M – "&amp;SUMPRODUCT(MAX(('Eloy Alfaro (San Felipe)'!$B$15:$B$105=D30)*(RIGHT('Eloy Alfaro (San Felipe)'!$A$15:$A$105,1)="M")*VALUE("0"&amp;SUBSTITUTE(SUBSTITUTE(UPPER('Eloy Alfaro (San Felipe)'!$A$15:$A$105),"F",""),"M",""))))&amp;"M"),"✖ error")</f>
        <v>1000M – 0M</v>
      </c>
      <c r="O30" s="33">
        <v>8</v>
      </c>
      <c r="P30" s="33" t="str">
        <f>IFERROR(IF(AND(E30=F30,G30=H30,I30=J30,K30=L30,M30=N30,SUMPRODUCT(('Eloy Alfaro (San Felipe)'!$B$15:$B$105=D30)*(RIGHT('Eloy Alfaro (San Felipe)'!$A$15:$A$105,1)="F"))=4,SUMPRODUCT(('Eloy Alfaro (San Felipe)'!$B$15:$B$105=D30)*(RIGHT('Eloy Alfaro (San Felipe)'!$A$15:$A$105,1)="F")*VALUE("0"&amp;SUBSTITUTE(SUBSTITUTE(UPPER('Eloy Alfaro (San Felipe)'!$A$15:$A$105),"F",""),"M","")))=114,SUMPRODUCT(('Eloy Alfaro (San Felipe)'!$B$15:$B$105=D30)*(RIGHT('Eloy Alfaro (San Felipe)'!$A$15:$A$105,1)="F")*VALUE("0"&amp;SUBSTITUTE(SUBSTITUTE(UPPER('Eloy Alfaro (San Felipe)'!$A$15:$A$105),"F",""),"M",""))^2)=3254,SUMPRODUCT(('Eloy Alfaro (San Felipe)'!$B$15:$B$105=D30)*(RIGHT('Eloy Alfaro (San Felipe)'!$A$15:$A$105,1)="M"))=4,SUMPRODUCT(('Eloy Alfaro (San Felipe)'!$B$15:$B$105=D30)*(RIGHT('Eloy Alfaro (San Felipe)'!$A$15:$A$105,1)="M")*VALUE("0"&amp;SUBSTITUTE(SUBSTITUTE(UPPER('Eloy Alfaro (San Felipe)'!$A$15:$A$105),"F",""),"M","")))=102,SUMPRODUCT(('Eloy Alfaro (San Felipe)'!$B$15:$B$105=D30)*(RIGHT('Eloy Alfaro (San Felipe)'!$A$15:$A$105,1)="M")*VALUE("0"&amp;SUBSTITUTE(SUBSTITUTE(UPPER('Eloy Alfaro (San Felipe)'!$A$15:$A$105),"F",""),"M",""))^2)=2606),"✔ Verificado","✖ Revisar"),"✖ Revisar")</f>
        <v>✖ Revisar</v>
      </c>
    </row>
    <row r="31" spans="1:16" x14ac:dyDescent="0.2">
      <c r="A31" s="32" t="s">
        <v>6</v>
      </c>
      <c r="B31" s="33" t="s">
        <v>266</v>
      </c>
      <c r="C31" s="33">
        <v>366</v>
      </c>
      <c r="D31" s="32" t="s">
        <v>46</v>
      </c>
      <c r="E31" s="33">
        <v>3500</v>
      </c>
      <c r="F31" s="33">
        <f>SUMIFS('Eloy Alfaro (San Felipe)'!$E$5:$E$11,'Eloy Alfaro (San Felipe)'!$B$5:$B$11,D31)</f>
        <v>3500</v>
      </c>
      <c r="G31" s="33">
        <v>5</v>
      </c>
      <c r="H31" s="33">
        <f>COUNTIFS('Eloy Alfaro (San Felipe)'!$B$15:$B$105,D31,'Eloy Alfaro (San Felipe)'!$A$15:$A$105,"*F")</f>
        <v>5</v>
      </c>
      <c r="I31" s="33">
        <v>5</v>
      </c>
      <c r="J31" s="33">
        <f>COUNTIFS('Eloy Alfaro (San Felipe)'!$B$15:$B$105,D31,'Eloy Alfaro (San Felipe)'!$A$15:$A$105,"*M")</f>
        <v>5</v>
      </c>
      <c r="K31" s="33" t="s">
        <v>277</v>
      </c>
      <c r="L31" s="33" t="str">
        <f>IFERROR(IF(H31=0,"—",(1000-SUMPRODUCT(MAX(('Eloy Alfaro (San Felipe)'!$B$15:$B$105=D31)*(RIGHT('Eloy Alfaro (San Felipe)'!$A$15:$A$105,1)="F")*(1000-VALUE("0"&amp;SUBSTITUTE(SUBSTITUTE(UPPER('Eloy Alfaro (San Felipe)'!$A$15:$A$105),"F",""),"M",""))))))&amp;"F – "&amp;SUMPRODUCT(MAX(('Eloy Alfaro (San Felipe)'!$B$15:$B$105=D31)*(RIGHT('Eloy Alfaro (San Felipe)'!$A$15:$A$105,1)="F")*VALUE("0"&amp;SUBSTITUTE(SUBSTITUTE(UPPER('Eloy Alfaro (San Felipe)'!$A$15:$A$105),"F",""),"M",""))))&amp;"F"),"✖ error")</f>
        <v>12F – 12F</v>
      </c>
      <c r="M31" s="33" t="s">
        <v>278</v>
      </c>
      <c r="N31" s="33" t="str">
        <f>IFERROR(IF(J31=0,"—",(1000-SUMPRODUCT(MAX(('Eloy Alfaro (San Felipe)'!$B$15:$B$105=D31)*(RIGHT('Eloy Alfaro (San Felipe)'!$A$15:$A$105,1)="M")*(1000-VALUE("0"&amp;SUBSTITUTE(SUBSTITUTE(UPPER('Eloy Alfaro (San Felipe)'!$A$15:$A$105),"F",""),"M",""))))))&amp;"M – "&amp;SUMPRODUCT(MAX(('Eloy Alfaro (San Felipe)'!$B$15:$B$105=D31)*(RIGHT('Eloy Alfaro (San Felipe)'!$A$15:$A$105,1)="M")*VALUE("0"&amp;SUBSTITUTE(SUBSTITUTE(UPPER('Eloy Alfaro (San Felipe)'!$A$15:$A$105),"F",""),"M",""))))&amp;"M"),"✖ error")</f>
        <v>1000M – 0M</v>
      </c>
      <c r="O31" s="33">
        <v>10</v>
      </c>
      <c r="P31" s="33" t="str">
        <f>IFERROR(IF(AND(E31=F31,G31=H31,I31=J31,K31=L31,M31=N31,SUMPRODUCT(('Eloy Alfaro (San Felipe)'!$B$15:$B$105=D31)*(RIGHT('Eloy Alfaro (San Felipe)'!$A$15:$A$105,1)="F"))=5,SUMPRODUCT(('Eloy Alfaro (San Felipe)'!$B$15:$B$105=D31)*(RIGHT('Eloy Alfaro (San Felipe)'!$A$15:$A$105,1)="F")*VALUE("0"&amp;SUBSTITUTE(SUBSTITUTE(UPPER('Eloy Alfaro (San Felipe)'!$A$15:$A$105),"F",""),"M","")))=165,SUMPRODUCT(('Eloy Alfaro (San Felipe)'!$B$15:$B$105=D31)*(RIGHT('Eloy Alfaro (San Felipe)'!$A$15:$A$105,1)="F")*VALUE("0"&amp;SUBSTITUTE(SUBSTITUTE(UPPER('Eloy Alfaro (San Felipe)'!$A$15:$A$105),"F",""),"M",""))^2)=5455,SUMPRODUCT(('Eloy Alfaro (San Felipe)'!$B$15:$B$105=D31)*(RIGHT('Eloy Alfaro (San Felipe)'!$A$15:$A$105,1)="M"))=5,SUMPRODUCT(('Eloy Alfaro (San Felipe)'!$B$15:$B$105=D31)*(RIGHT('Eloy Alfaro (San Felipe)'!$A$15:$A$105,1)="M")*VALUE("0"&amp;SUBSTITUTE(SUBSTITUTE(UPPER('Eloy Alfaro (San Felipe)'!$A$15:$A$105),"F",""),"M","")))=150,SUMPRODUCT(('Eloy Alfaro (San Felipe)'!$B$15:$B$105=D31)*(RIGHT('Eloy Alfaro (San Felipe)'!$A$15:$A$105,1)="M")*VALUE("0"&amp;SUBSTITUTE(SUBSTITUTE(UPPER('Eloy Alfaro (San Felipe)'!$A$15:$A$105),"F",""),"M",""))^2)=4510),"✔ Verificado","✖ Revisar"),"✖ Revisar")</f>
        <v>✖ Revisar</v>
      </c>
    </row>
    <row r="32" spans="1:16" x14ac:dyDescent="0.2">
      <c r="A32" s="32" t="s">
        <v>6</v>
      </c>
      <c r="B32" s="33" t="s">
        <v>266</v>
      </c>
      <c r="C32" s="33">
        <v>354</v>
      </c>
      <c r="D32" s="32" t="s">
        <v>48</v>
      </c>
      <c r="E32" s="33">
        <v>8123</v>
      </c>
      <c r="F32" s="33">
        <f>SUMIFS('Eloy Alfaro (San Felipe)'!$E$5:$E$11,'Eloy Alfaro (San Felipe)'!$B$5:$B$11,D32)</f>
        <v>8123</v>
      </c>
      <c r="G32" s="33">
        <v>12</v>
      </c>
      <c r="H32" s="33">
        <f>COUNTIFS('Eloy Alfaro (San Felipe)'!$B$15:$B$105,D32,'Eloy Alfaro (San Felipe)'!$A$15:$A$105,"*F")</f>
        <v>12</v>
      </c>
      <c r="I32" s="33">
        <v>12</v>
      </c>
      <c r="J32" s="33">
        <f>COUNTIFS('Eloy Alfaro (San Felipe)'!$B$15:$B$105,D32,'Eloy Alfaro (San Felipe)'!$A$15:$A$105,"*M")</f>
        <v>12</v>
      </c>
      <c r="K32" s="33" t="s">
        <v>279</v>
      </c>
      <c r="L32" s="33" t="str">
        <f>IFERROR(IF(H32=0,"—",(1000-SUMPRODUCT(MAX(('Eloy Alfaro (San Felipe)'!$B$15:$B$105=D32)*(RIGHT('Eloy Alfaro (San Felipe)'!$A$15:$A$105,1)="F")*(1000-VALUE("0"&amp;SUBSTITUTE(SUBSTITUTE(UPPER('Eloy Alfaro (San Felipe)'!$A$15:$A$105),"F",""),"M",""))))))&amp;"F – "&amp;SUMPRODUCT(MAX(('Eloy Alfaro (San Felipe)'!$B$15:$B$105=D32)*(RIGHT('Eloy Alfaro (San Felipe)'!$A$15:$A$105,1)="F")*VALUE("0"&amp;SUBSTITUTE(SUBSTITUTE(UPPER('Eloy Alfaro (San Felipe)'!$A$15:$A$105),"F",""),"M",""))))&amp;"F"),"✖ error")</f>
        <v>13F – 13F</v>
      </c>
      <c r="M32" s="33" t="s">
        <v>280</v>
      </c>
      <c r="N32" s="33" t="str">
        <f>IFERROR(IF(J32=0,"—",(1000-SUMPRODUCT(MAX(('Eloy Alfaro (San Felipe)'!$B$15:$B$105=D32)*(RIGHT('Eloy Alfaro (San Felipe)'!$A$15:$A$105,1)="M")*(1000-VALUE("0"&amp;SUBSTITUTE(SUBSTITUTE(UPPER('Eloy Alfaro (San Felipe)'!$A$15:$A$105),"F",""),"M",""))))))&amp;"M – "&amp;SUMPRODUCT(MAX(('Eloy Alfaro (San Felipe)'!$B$15:$B$105=D32)*(RIGHT('Eloy Alfaro (San Felipe)'!$A$15:$A$105,1)="M")*VALUE("0"&amp;SUBSTITUTE(SUBSTITUTE(UPPER('Eloy Alfaro (San Felipe)'!$A$15:$A$105),"F",""),"M",""))))&amp;"M"),"✖ error")</f>
        <v>1000M – 0M</v>
      </c>
      <c r="O32" s="33">
        <v>24</v>
      </c>
      <c r="P32" s="33" t="str">
        <f>IFERROR(IF(AND(E32=F32,G32=H32,I32=J32,K32=L32,M32=N32,SUMPRODUCT(('Eloy Alfaro (San Felipe)'!$B$15:$B$105=D32)*(RIGHT('Eloy Alfaro (San Felipe)'!$A$15:$A$105,1)="F"))=12,SUMPRODUCT(('Eloy Alfaro (San Felipe)'!$B$15:$B$105=D32)*(RIGHT('Eloy Alfaro (San Felipe)'!$A$15:$A$105,1)="F")*VALUE("0"&amp;SUBSTITUTE(SUBSTITUTE(UPPER('Eloy Alfaro (San Felipe)'!$A$15:$A$105),"F",""),"M","")))=498,SUMPRODUCT(('Eloy Alfaro (San Felipe)'!$B$15:$B$105=D32)*(RIGHT('Eloy Alfaro (San Felipe)'!$A$15:$A$105,1)="F")*VALUE("0"&amp;SUBSTITUTE(SUBSTITUTE(UPPER('Eloy Alfaro (San Felipe)'!$A$15:$A$105),"F",""),"M",""))^2)=20810,SUMPRODUCT(('Eloy Alfaro (San Felipe)'!$B$15:$B$105=D32)*(RIGHT('Eloy Alfaro (San Felipe)'!$A$15:$A$105,1)="M"))=12,SUMPRODUCT(('Eloy Alfaro (San Felipe)'!$B$15:$B$105=D32)*(RIGHT('Eloy Alfaro (San Felipe)'!$A$15:$A$105,1)="M")*VALUE("0"&amp;SUBSTITUTE(SUBSTITUTE(UPPER('Eloy Alfaro (San Felipe)'!$A$15:$A$105),"F",""),"M","")))=462,SUMPRODUCT(('Eloy Alfaro (San Felipe)'!$B$15:$B$105=D32)*(RIGHT('Eloy Alfaro (San Felipe)'!$A$15:$A$105,1)="M")*VALUE("0"&amp;SUBSTITUTE(SUBSTITUTE(UPPER('Eloy Alfaro (San Felipe)'!$A$15:$A$105),"F",""),"M",""))^2)=17930),"✔ Verificado","✖ Revisar"),"✖ Revisar")</f>
        <v>✖ Revisar</v>
      </c>
    </row>
    <row r="33" spans="1:16" x14ac:dyDescent="0.2">
      <c r="A33" s="32" t="s">
        <v>8</v>
      </c>
      <c r="B33" s="33" t="s">
        <v>281</v>
      </c>
      <c r="C33" s="33">
        <v>1576</v>
      </c>
      <c r="D33" s="32" t="s">
        <v>145</v>
      </c>
      <c r="E33" s="33">
        <v>5600</v>
      </c>
      <c r="F33" s="33">
        <f>SUMIFS('Ignacio Flores'!$E$5:$E$9,'Ignacio Flores'!$B$5:$B$9,D33)</f>
        <v>5600</v>
      </c>
      <c r="G33" s="33">
        <v>9</v>
      </c>
      <c r="H33" s="33">
        <f>COUNTIFS('Ignacio Flores'!$B$13:$B$67,D33,'Ignacio Flores'!$A$13:$A$67,"*F")</f>
        <v>9</v>
      </c>
      <c r="I33" s="33">
        <v>7</v>
      </c>
      <c r="J33" s="33">
        <f>COUNTIFS('Ignacio Flores'!$B$13:$B$67,D33,'Ignacio Flores'!$A$13:$A$67,"*M")</f>
        <v>7</v>
      </c>
      <c r="K33" s="33" t="s">
        <v>282</v>
      </c>
      <c r="L33" s="33" t="str">
        <f>IFERROR(IF(H33=0,"—",(1000-SUMPRODUCT(MAX(('Ignacio Flores'!$B$13:$B$67=D33)*(RIGHT('Ignacio Flores'!$A$13:$A$67,1)="F")*(1000-VALUE("0"&amp;SUBSTITUTE(SUBSTITUTE(UPPER('Ignacio Flores'!$A$13:$A$67),"F",""),"M",""))))))&amp;"F – "&amp;SUMPRODUCT(MAX(('Ignacio Flores'!$B$13:$B$67=D33)*(RIGHT('Ignacio Flores'!$A$13:$A$67,1)="F")*VALUE("0"&amp;SUBSTITUTE(SUBSTITUTE(UPPER('Ignacio Flores'!$A$13:$A$67),"F",""),"M",""))))&amp;"F"),"✖ error")</f>
        <v>14F – 14F</v>
      </c>
      <c r="M33" s="33" t="s">
        <v>283</v>
      </c>
      <c r="N33" s="33" t="str">
        <f>IFERROR(IF(J33=0,"—",(1000-SUMPRODUCT(MAX(('Ignacio Flores'!$B$13:$B$67=D33)*(RIGHT('Ignacio Flores'!$A$13:$A$67,1)="M")*(1000-VALUE("0"&amp;SUBSTITUTE(SUBSTITUTE(UPPER('Ignacio Flores'!$A$13:$A$67),"F",""),"M",""))))))&amp;"M – "&amp;SUMPRODUCT(MAX(('Ignacio Flores'!$B$13:$B$67=D33)*(RIGHT('Ignacio Flores'!$A$13:$A$67,1)="M")*VALUE("0"&amp;SUBSTITUTE(SUBSTITUTE(UPPER('Ignacio Flores'!$A$13:$A$67),"F",""),"M",""))))&amp;"M"),"✖ error")</f>
        <v>1000M – 0M</v>
      </c>
      <c r="O33" s="33">
        <v>16</v>
      </c>
      <c r="P33" s="33" t="str">
        <f>IFERROR(IF(AND(E33=F33,G33=H33,I33=J33,K33=L33,M33=N33,SUMPRODUCT(('Ignacio Flores'!$B$13:$B$67=D33)*(RIGHT('Ignacio Flores'!$A$13:$A$67,1)="F"))=9,SUMPRODUCT(('Ignacio Flores'!$B$13:$B$67=D33)*(RIGHT('Ignacio Flores'!$A$13:$A$67,1)="F")*VALUE("0"&amp;SUBSTITUTE(SUBSTITUTE(UPPER('Ignacio Flores'!$A$13:$A$67),"F",""),"M","")))=45,SUMPRODUCT(('Ignacio Flores'!$B$13:$B$67=D33)*(RIGHT('Ignacio Flores'!$A$13:$A$67,1)="F")*VALUE("0"&amp;SUBSTITUTE(SUBSTITUTE(UPPER('Ignacio Flores'!$A$13:$A$67),"F",""),"M",""))^2)=285,SUMPRODUCT(('Ignacio Flores'!$B$13:$B$67=D33)*(RIGHT('Ignacio Flores'!$A$13:$A$67,1)="M"))=7,SUMPRODUCT(('Ignacio Flores'!$B$13:$B$67=D33)*(RIGHT('Ignacio Flores'!$A$13:$A$67,1)="M")*VALUE("0"&amp;SUBSTITUTE(SUBSTITUTE(UPPER('Ignacio Flores'!$A$13:$A$67),"F",""),"M","")))=28,SUMPRODUCT(('Ignacio Flores'!$B$13:$B$67=D33)*(RIGHT('Ignacio Flores'!$A$13:$A$67,1)="M")*VALUE("0"&amp;SUBSTITUTE(SUBSTITUTE(UPPER('Ignacio Flores'!$A$13:$A$67),"F",""),"M",""))^2)=140),"✔ Verificado","✖ Revisar"),"✖ Revisar")</f>
        <v>✖ Revisar</v>
      </c>
    </row>
    <row r="34" spans="1:16" x14ac:dyDescent="0.2">
      <c r="A34" s="32" t="s">
        <v>8</v>
      </c>
      <c r="B34" s="33" t="s">
        <v>281</v>
      </c>
      <c r="C34" s="33">
        <v>1575</v>
      </c>
      <c r="D34" s="32" t="s">
        <v>147</v>
      </c>
      <c r="E34" s="33">
        <v>4900</v>
      </c>
      <c r="F34" s="33">
        <f>SUMIFS('Ignacio Flores'!$E$5:$E$9,'Ignacio Flores'!$B$5:$B$9,D34)</f>
        <v>4900</v>
      </c>
      <c r="G34" s="33">
        <v>7</v>
      </c>
      <c r="H34" s="33">
        <f>COUNTIFS('Ignacio Flores'!$B$13:$B$67,D34,'Ignacio Flores'!$A$13:$A$67,"*F")</f>
        <v>7</v>
      </c>
      <c r="I34" s="33">
        <v>7</v>
      </c>
      <c r="J34" s="33">
        <f>COUNTIFS('Ignacio Flores'!$B$13:$B$67,D34,'Ignacio Flores'!$A$13:$A$67,"*M")</f>
        <v>7</v>
      </c>
      <c r="K34" s="33" t="s">
        <v>284</v>
      </c>
      <c r="L34" s="33" t="str">
        <f>IFERROR(IF(H34=0,"—",(1000-SUMPRODUCT(MAX(('Ignacio Flores'!$B$13:$B$67=D34)*(RIGHT('Ignacio Flores'!$A$13:$A$67,1)="F")*(1000-VALUE("0"&amp;SUBSTITUTE(SUBSTITUTE(UPPER('Ignacio Flores'!$A$13:$A$67),"F",""),"M",""))))))&amp;"F – "&amp;SUMPRODUCT(MAX(('Ignacio Flores'!$B$13:$B$67=D34)*(RIGHT('Ignacio Flores'!$A$13:$A$67,1)="F")*VALUE("0"&amp;SUBSTITUTE(SUBSTITUTE(UPPER('Ignacio Flores'!$A$13:$A$67),"F",""),"M",""))))&amp;"F"),"✖ error")</f>
        <v>15F – 15F</v>
      </c>
      <c r="M34" s="33" t="s">
        <v>285</v>
      </c>
      <c r="N34" s="33" t="str">
        <f>IFERROR(IF(J34=0,"—",(1000-SUMPRODUCT(MAX(('Ignacio Flores'!$B$13:$B$67=D34)*(RIGHT('Ignacio Flores'!$A$13:$A$67,1)="M")*(1000-VALUE("0"&amp;SUBSTITUTE(SUBSTITUTE(UPPER('Ignacio Flores'!$A$13:$A$67),"F",""),"M",""))))))&amp;"M – "&amp;SUMPRODUCT(MAX(('Ignacio Flores'!$B$13:$B$67=D34)*(RIGHT('Ignacio Flores'!$A$13:$A$67,1)="M")*VALUE("0"&amp;SUBSTITUTE(SUBSTITUTE(UPPER('Ignacio Flores'!$A$13:$A$67),"F",""),"M",""))))&amp;"M"),"✖ error")</f>
        <v>1000M – 0M</v>
      </c>
      <c r="O34" s="33">
        <v>14</v>
      </c>
      <c r="P34" s="33" t="str">
        <f>IFERROR(IF(AND(E34=F34,G34=H34,I34=J34,K34=L34,M34=N34,SUMPRODUCT(('Ignacio Flores'!$B$13:$B$67=D34)*(RIGHT('Ignacio Flores'!$A$13:$A$67,1)="F"))=7,SUMPRODUCT(('Ignacio Flores'!$B$13:$B$67=D34)*(RIGHT('Ignacio Flores'!$A$13:$A$67,1)="F")*VALUE("0"&amp;SUBSTITUTE(SUBSTITUTE(UPPER('Ignacio Flores'!$A$13:$A$67),"F",""),"M","")))=91,SUMPRODUCT(('Ignacio Flores'!$B$13:$B$67=D34)*(RIGHT('Ignacio Flores'!$A$13:$A$67,1)="F")*VALUE("0"&amp;SUBSTITUTE(SUBSTITUTE(UPPER('Ignacio Flores'!$A$13:$A$67),"F",""),"M",""))^2)=1211,SUMPRODUCT(('Ignacio Flores'!$B$13:$B$67=D34)*(RIGHT('Ignacio Flores'!$A$13:$A$67,1)="M"))=7,SUMPRODUCT(('Ignacio Flores'!$B$13:$B$67=D34)*(RIGHT('Ignacio Flores'!$A$13:$A$67,1)="M")*VALUE("0"&amp;SUBSTITUTE(SUBSTITUTE(UPPER('Ignacio Flores'!$A$13:$A$67),"F",""),"M","")))=77,SUMPRODUCT(('Ignacio Flores'!$B$13:$B$67=D34)*(RIGHT('Ignacio Flores'!$A$13:$A$67,1)="M")*VALUE("0"&amp;SUBSTITUTE(SUBSTITUTE(UPPER('Ignacio Flores'!$A$13:$A$67),"F",""),"M",""))^2)=875),"✔ Verificado","✖ Revisar"),"✖ Revisar")</f>
        <v>✖ Revisar</v>
      </c>
    </row>
    <row r="35" spans="1:16" x14ac:dyDescent="0.2">
      <c r="A35" s="32" t="s">
        <v>8</v>
      </c>
      <c r="B35" s="33" t="s">
        <v>281</v>
      </c>
      <c r="C35" s="33">
        <v>6322</v>
      </c>
      <c r="D35" s="32" t="s">
        <v>149</v>
      </c>
      <c r="E35" s="33">
        <v>3150</v>
      </c>
      <c r="F35" s="33">
        <f>SUMIFS('Ignacio Flores'!$E$5:$E$9,'Ignacio Flores'!$B$5:$B$9,D35)</f>
        <v>3150</v>
      </c>
      <c r="G35" s="33">
        <v>5</v>
      </c>
      <c r="H35" s="33">
        <f>COUNTIFS('Ignacio Flores'!$B$13:$B$67,D35,'Ignacio Flores'!$A$13:$A$67,"*F")</f>
        <v>5</v>
      </c>
      <c r="I35" s="33">
        <v>4</v>
      </c>
      <c r="J35" s="33">
        <f>COUNTIFS('Ignacio Flores'!$B$13:$B$67,D35,'Ignacio Flores'!$A$13:$A$67,"*M")</f>
        <v>4</v>
      </c>
      <c r="K35" s="33" t="s">
        <v>286</v>
      </c>
      <c r="L35" s="33" t="str">
        <f>IFERROR(IF(H35=0,"—",(1000-SUMPRODUCT(MAX(('Ignacio Flores'!$B$13:$B$67=D35)*(RIGHT('Ignacio Flores'!$A$13:$A$67,1)="F")*(1000-VALUE("0"&amp;SUBSTITUTE(SUBSTITUTE(UPPER('Ignacio Flores'!$A$13:$A$67),"F",""),"M",""))))))&amp;"F – "&amp;SUMPRODUCT(MAX(('Ignacio Flores'!$B$13:$B$67=D35)*(RIGHT('Ignacio Flores'!$A$13:$A$67,1)="F")*VALUE("0"&amp;SUBSTITUTE(SUBSTITUTE(UPPER('Ignacio Flores'!$A$13:$A$67),"F",""),"M",""))))&amp;"F"),"✖ error")</f>
        <v>16F – 16F</v>
      </c>
      <c r="M35" s="33" t="s">
        <v>287</v>
      </c>
      <c r="N35" s="33" t="str">
        <f>IFERROR(IF(J35=0,"—",(1000-SUMPRODUCT(MAX(('Ignacio Flores'!$B$13:$B$67=D35)*(RIGHT('Ignacio Flores'!$A$13:$A$67,1)="M")*(1000-VALUE("0"&amp;SUBSTITUTE(SUBSTITUTE(UPPER('Ignacio Flores'!$A$13:$A$67),"F",""),"M",""))))))&amp;"M – "&amp;SUMPRODUCT(MAX(('Ignacio Flores'!$B$13:$B$67=D35)*(RIGHT('Ignacio Flores'!$A$13:$A$67,1)="M")*VALUE("0"&amp;SUBSTITUTE(SUBSTITUTE(UPPER('Ignacio Flores'!$A$13:$A$67),"F",""),"M",""))))&amp;"M"),"✖ error")</f>
        <v>1000M – 0M</v>
      </c>
      <c r="O35" s="33">
        <v>9</v>
      </c>
      <c r="P35" s="33" t="str">
        <f>IFERROR(IF(AND(E35=F35,G35=H35,I35=J35,K35=L35,M35=N35,SUMPRODUCT(('Ignacio Flores'!$B$13:$B$67=D35)*(RIGHT('Ignacio Flores'!$A$13:$A$67,1)="F"))=5,SUMPRODUCT(('Ignacio Flores'!$B$13:$B$67=D35)*(RIGHT('Ignacio Flores'!$A$13:$A$67,1)="F")*VALUE("0"&amp;SUBSTITUTE(SUBSTITUTE(UPPER('Ignacio Flores'!$A$13:$A$67),"F",""),"M","")))=95,SUMPRODUCT(('Ignacio Flores'!$B$13:$B$67=D35)*(RIGHT('Ignacio Flores'!$A$13:$A$67,1)="F")*VALUE("0"&amp;SUBSTITUTE(SUBSTITUTE(UPPER('Ignacio Flores'!$A$13:$A$67),"F",""),"M",""))^2)=1815,SUMPRODUCT(('Ignacio Flores'!$B$13:$B$67=D35)*(RIGHT('Ignacio Flores'!$A$13:$A$67,1)="M"))=4,SUMPRODUCT(('Ignacio Flores'!$B$13:$B$67=D35)*(RIGHT('Ignacio Flores'!$A$13:$A$67,1)="M")*VALUE("0"&amp;SUBSTITUTE(SUBSTITUTE(UPPER('Ignacio Flores'!$A$13:$A$67),"F",""),"M","")))=66,SUMPRODUCT(('Ignacio Flores'!$B$13:$B$67=D35)*(RIGHT('Ignacio Flores'!$A$13:$A$67,1)="M")*VALUE("0"&amp;SUBSTITUTE(SUBSTITUTE(UPPER('Ignacio Flores'!$A$13:$A$67),"F",""),"M",""))^2)=1094),"✔ Verificado","✖ Revisar"),"✖ Revisar")</f>
        <v>✖ Revisar</v>
      </c>
    </row>
    <row r="36" spans="1:16" x14ac:dyDescent="0.2">
      <c r="A36" s="32" t="s">
        <v>8</v>
      </c>
      <c r="B36" s="33" t="s">
        <v>281</v>
      </c>
      <c r="C36" s="33">
        <v>6332</v>
      </c>
      <c r="D36" s="32" t="s">
        <v>151</v>
      </c>
      <c r="E36" s="33">
        <v>4659</v>
      </c>
      <c r="F36" s="33">
        <f>SUMIFS('Ignacio Flores'!$E$5:$E$9,'Ignacio Flores'!$B$5:$B$9,D36)</f>
        <v>4659</v>
      </c>
      <c r="G36" s="33">
        <v>7</v>
      </c>
      <c r="H36" s="33">
        <f>COUNTIFS('Ignacio Flores'!$B$13:$B$67,D36,'Ignacio Flores'!$A$13:$A$67,"*F")</f>
        <v>7</v>
      </c>
      <c r="I36" s="33">
        <v>7</v>
      </c>
      <c r="J36" s="33">
        <f>COUNTIFS('Ignacio Flores'!$B$13:$B$67,D36,'Ignacio Flores'!$A$13:$A$67,"*M")</f>
        <v>7</v>
      </c>
      <c r="K36" s="33" t="s">
        <v>288</v>
      </c>
      <c r="L36" s="33" t="str">
        <f>IFERROR(IF(H36=0,"—",(1000-SUMPRODUCT(MAX(('Ignacio Flores'!$B$13:$B$67=D36)*(RIGHT('Ignacio Flores'!$A$13:$A$67,1)="F")*(1000-VALUE("0"&amp;SUBSTITUTE(SUBSTITUTE(UPPER('Ignacio Flores'!$A$13:$A$67),"F",""),"M",""))))))&amp;"F – "&amp;SUMPRODUCT(MAX(('Ignacio Flores'!$B$13:$B$67=D36)*(RIGHT('Ignacio Flores'!$A$13:$A$67,1)="F")*VALUE("0"&amp;SUBSTITUTE(SUBSTITUTE(UPPER('Ignacio Flores'!$A$13:$A$67),"F",""),"M",""))))&amp;"F"),"✖ error")</f>
        <v>1000F – 0F</v>
      </c>
      <c r="M36" s="33" t="s">
        <v>289</v>
      </c>
      <c r="N36" s="33" t="str">
        <f>IFERROR(IF(J36=0,"—",(1000-SUMPRODUCT(MAX(('Ignacio Flores'!$B$13:$B$67=D36)*(RIGHT('Ignacio Flores'!$A$13:$A$67,1)="M")*(1000-VALUE("0"&amp;SUBSTITUTE(SUBSTITUTE(UPPER('Ignacio Flores'!$A$13:$A$67),"F",""),"M",""))))))&amp;"M – "&amp;SUMPRODUCT(MAX(('Ignacio Flores'!$B$13:$B$67=D36)*(RIGHT('Ignacio Flores'!$A$13:$A$67,1)="M")*VALUE("0"&amp;SUBSTITUTE(SUBSTITUTE(UPPER('Ignacio Flores'!$A$13:$A$67),"F",""),"M",""))))&amp;"M"),"✖ error")</f>
        <v>8M – 8M</v>
      </c>
      <c r="O36" s="33">
        <v>14</v>
      </c>
      <c r="P36" s="33" t="str">
        <f>IFERROR(IF(AND(E36=F36,G36=H36,I36=J36,K36=L36,M36=N36,SUMPRODUCT(('Ignacio Flores'!$B$13:$B$67=D36)*(RIGHT('Ignacio Flores'!$A$13:$A$67,1)="F"))=7,SUMPRODUCT(('Ignacio Flores'!$B$13:$B$67=D36)*(RIGHT('Ignacio Flores'!$A$13:$A$67,1)="F")*VALUE("0"&amp;SUBSTITUTE(SUBSTITUTE(UPPER('Ignacio Flores'!$A$13:$A$67),"F",""),"M","")))=175,SUMPRODUCT(('Ignacio Flores'!$B$13:$B$67=D36)*(RIGHT('Ignacio Flores'!$A$13:$A$67,1)="F")*VALUE("0"&amp;SUBSTITUTE(SUBSTITUTE(UPPER('Ignacio Flores'!$A$13:$A$67),"F",""),"M",""))^2)=4403,SUMPRODUCT(('Ignacio Flores'!$B$13:$B$67=D36)*(RIGHT('Ignacio Flores'!$A$13:$A$67,1)="M"))=7,SUMPRODUCT(('Ignacio Flores'!$B$13:$B$67=D36)*(RIGHT('Ignacio Flores'!$A$13:$A$67,1)="M")*VALUE("0"&amp;SUBSTITUTE(SUBSTITUTE(UPPER('Ignacio Flores'!$A$13:$A$67),"F",""),"M","")))=154,SUMPRODUCT(('Ignacio Flores'!$B$13:$B$67=D36)*(RIGHT('Ignacio Flores'!$A$13:$A$67,1)="M")*VALUE("0"&amp;SUBSTITUTE(SUBSTITUTE(UPPER('Ignacio Flores'!$A$13:$A$67),"F",""),"M",""))^2)=3416),"✔ Verificado","✖ Revisar"),"✖ Revisar")</f>
        <v>✖ Revisar</v>
      </c>
    </row>
    <row r="37" spans="1:16" x14ac:dyDescent="0.2">
      <c r="A37" s="32" t="s">
        <v>8</v>
      </c>
      <c r="B37" s="33" t="s">
        <v>290</v>
      </c>
      <c r="C37" s="33">
        <v>6833</v>
      </c>
      <c r="D37" s="32" t="s">
        <v>153</v>
      </c>
      <c r="E37" s="33">
        <v>286</v>
      </c>
      <c r="F37" s="33">
        <f>SUMIFS('Ignacio Flores'!$E$5:$E$9,'Ignacio Flores'!$B$5:$B$9,D37)</f>
        <v>286</v>
      </c>
      <c r="G37" s="33">
        <v>1</v>
      </c>
      <c r="H37" s="33">
        <f>COUNTIFS('Ignacio Flores'!$B$13:$B$67,D37,'Ignacio Flores'!$A$13:$A$67,"*F")</f>
        <v>1</v>
      </c>
      <c r="I37" s="33">
        <v>1</v>
      </c>
      <c r="J37" s="33">
        <f>COUNTIFS('Ignacio Flores'!$B$13:$B$67,D37,'Ignacio Flores'!$A$13:$A$67,"*M")</f>
        <v>1</v>
      </c>
      <c r="K37" s="33" t="s">
        <v>291</v>
      </c>
      <c r="L37" s="33" t="str">
        <f>IFERROR(IF(H37=0,"—",(1000-SUMPRODUCT(MAX(('Ignacio Flores'!$B$13:$B$67=D37)*(RIGHT('Ignacio Flores'!$A$13:$A$67,1)="F")*(1000-VALUE("0"&amp;SUBSTITUTE(SUBSTITUTE(UPPER('Ignacio Flores'!$A$13:$A$67),"F",""),"M",""))))))&amp;"F – "&amp;SUMPRODUCT(MAX(('Ignacio Flores'!$B$13:$B$67=D37)*(RIGHT('Ignacio Flores'!$A$13:$A$67,1)="F")*VALUE("0"&amp;SUBSTITUTE(SUBSTITUTE(UPPER('Ignacio Flores'!$A$13:$A$67),"F",""),"M",""))))&amp;"F"),"✖ error")</f>
        <v>1000F – 0F</v>
      </c>
      <c r="M37" s="33" t="s">
        <v>292</v>
      </c>
      <c r="N37" s="33" t="str">
        <f>IFERROR(IF(J37=0,"—",(1000-SUMPRODUCT(MAX(('Ignacio Flores'!$B$13:$B$67=D37)*(RIGHT('Ignacio Flores'!$A$13:$A$67,1)="M")*(1000-VALUE("0"&amp;SUBSTITUTE(SUBSTITUTE(UPPER('Ignacio Flores'!$A$13:$A$67),"F",""),"M",""))))))&amp;"M – "&amp;SUMPRODUCT(MAX(('Ignacio Flores'!$B$13:$B$67=D37)*(RIGHT('Ignacio Flores'!$A$13:$A$67,1)="M")*VALUE("0"&amp;SUBSTITUTE(SUBSTITUTE(UPPER('Ignacio Flores'!$A$13:$A$67),"F",""),"M",""))))&amp;"M"),"✖ error")</f>
        <v>9M – 9M</v>
      </c>
      <c r="O37" s="33">
        <v>2</v>
      </c>
      <c r="P37" s="33" t="str">
        <f>IFERROR(IF(AND(E37=F37,G37=H37,I37=J37,K37=L37,M37=N37,SUMPRODUCT(('Ignacio Flores'!$B$13:$B$67=D37)*(RIGHT('Ignacio Flores'!$A$13:$A$67,1)="F"))=1,SUMPRODUCT(('Ignacio Flores'!$B$13:$B$67=D37)*(RIGHT('Ignacio Flores'!$A$13:$A$67,1)="F")*VALUE("0"&amp;SUBSTITUTE(SUBSTITUTE(UPPER('Ignacio Flores'!$A$13:$A$67),"F",""),"M","")))=1,SUMPRODUCT(('Ignacio Flores'!$B$13:$B$67=D37)*(RIGHT('Ignacio Flores'!$A$13:$A$67,1)="F")*VALUE("0"&amp;SUBSTITUTE(SUBSTITUTE(UPPER('Ignacio Flores'!$A$13:$A$67),"F",""),"M",""))^2)=1,SUMPRODUCT(('Ignacio Flores'!$B$13:$B$67=D37)*(RIGHT('Ignacio Flores'!$A$13:$A$67,1)="M"))=1,SUMPRODUCT(('Ignacio Flores'!$B$13:$B$67=D37)*(RIGHT('Ignacio Flores'!$A$13:$A$67,1)="M")*VALUE("0"&amp;SUBSTITUTE(SUBSTITUTE(UPPER('Ignacio Flores'!$A$13:$A$67),"F",""),"M","")))=1,SUMPRODUCT(('Ignacio Flores'!$B$13:$B$67=D37)*(RIGHT('Ignacio Flores'!$A$13:$A$67,1)="M")*VALUE("0"&amp;SUBSTITUTE(SUBSTITUTE(UPPER('Ignacio Flores'!$A$13:$A$67),"F",""),"M",""))^2)=1),"✔ Verificado","✖ Revisar"),"✖ Revisar")</f>
        <v>✖ Revisar</v>
      </c>
    </row>
    <row r="38" spans="1:16" x14ac:dyDescent="0.2">
      <c r="A38" s="32" t="s">
        <v>9</v>
      </c>
      <c r="B38" s="33" t="s">
        <v>266</v>
      </c>
      <c r="C38" s="33">
        <v>1605</v>
      </c>
      <c r="D38" s="32" t="s">
        <v>156</v>
      </c>
      <c r="E38" s="33">
        <v>4900</v>
      </c>
      <c r="F38" s="33">
        <f>SUMIFS('Juan Montalvo (San Sebastián)'!$E$5:$E$9,'Juan Montalvo (San Sebastián)'!$B$5:$B$9,D38)</f>
        <v>4900</v>
      </c>
      <c r="G38" s="33">
        <v>8</v>
      </c>
      <c r="H38" s="33">
        <f>COUNTIFS('Juan Montalvo (San Sebastián)'!$B$13:$B$60,D38,'Juan Montalvo (San Sebastián)'!$A$13:$A$60,"*F")</f>
        <v>8</v>
      </c>
      <c r="I38" s="33">
        <v>6</v>
      </c>
      <c r="J38" s="33">
        <f>COUNTIFS('Juan Montalvo (San Sebastián)'!$B$13:$B$60,D38,'Juan Montalvo (San Sebastián)'!$A$13:$A$60,"*M")</f>
        <v>6</v>
      </c>
      <c r="K38" s="33" t="s">
        <v>293</v>
      </c>
      <c r="L38" s="33" t="str">
        <f>IFERROR(IF(H38=0,"—",(1000-SUMPRODUCT(MAX(('Juan Montalvo (San Sebastián)'!$B$13:$B$60=D38)*(RIGHT('Juan Montalvo (San Sebastián)'!$A$13:$A$60,1)="F")*(1000-VALUE("0"&amp;SUBSTITUTE(SUBSTITUTE(UPPER('Juan Montalvo (San Sebastián)'!$A$13:$A$60),"F",""),"M",""))))))&amp;"F – "&amp;SUMPRODUCT(MAX(('Juan Montalvo (San Sebastián)'!$B$13:$B$60=D38)*(RIGHT('Juan Montalvo (San Sebastián)'!$A$13:$A$60,1)="F")*VALUE("0"&amp;SUBSTITUTE(SUBSTITUTE(UPPER('Juan Montalvo (San Sebastián)'!$A$13:$A$60),"F",""),"M",""))))&amp;"F"),"✖ error")</f>
        <v>16F – 16F</v>
      </c>
      <c r="M38" s="33" t="s">
        <v>294</v>
      </c>
      <c r="N38" s="33" t="str">
        <f>IFERROR(IF(J38=0,"—",(1000-SUMPRODUCT(MAX(('Juan Montalvo (San Sebastián)'!$B$13:$B$60=D38)*(RIGHT('Juan Montalvo (San Sebastián)'!$A$13:$A$60,1)="M")*(1000-VALUE("0"&amp;SUBSTITUTE(SUBSTITUTE(UPPER('Juan Montalvo (San Sebastián)'!$A$13:$A$60),"F",""),"M",""))))))&amp;"M – "&amp;SUMPRODUCT(MAX(('Juan Montalvo (San Sebastián)'!$B$13:$B$60=D38)*(RIGHT('Juan Montalvo (San Sebastián)'!$A$13:$A$60,1)="M")*VALUE("0"&amp;SUBSTITUTE(SUBSTITUTE(UPPER('Juan Montalvo (San Sebastián)'!$A$13:$A$60),"F",""),"M",""))))&amp;"M"),"✖ error")</f>
        <v>1000M – 0M</v>
      </c>
      <c r="O38" s="33">
        <v>14</v>
      </c>
      <c r="P38" s="33" t="str">
        <f>IFERROR(IF(AND(E38=F38,G38=H38,I38=J38,K38=L38,M38=N38,SUMPRODUCT(('Juan Montalvo (San Sebastián)'!$B$13:$B$60=D38)*(RIGHT('Juan Montalvo (San Sebastián)'!$A$13:$A$60,1)="F"))=8,SUMPRODUCT(('Juan Montalvo (San Sebastián)'!$B$13:$B$60=D38)*(RIGHT('Juan Montalvo (San Sebastián)'!$A$13:$A$60,1)="F")*VALUE("0"&amp;SUBSTITUTE(SUBSTITUTE(UPPER('Juan Montalvo (San Sebastián)'!$A$13:$A$60),"F",""),"M","")))=36,SUMPRODUCT(('Juan Montalvo (San Sebastián)'!$B$13:$B$60=D38)*(RIGHT('Juan Montalvo (San Sebastián)'!$A$13:$A$60,1)="F")*VALUE("0"&amp;SUBSTITUTE(SUBSTITUTE(UPPER('Juan Montalvo (San Sebastián)'!$A$13:$A$60),"F",""),"M",""))^2)=204,SUMPRODUCT(('Juan Montalvo (San Sebastián)'!$B$13:$B$60=D38)*(RIGHT('Juan Montalvo (San Sebastián)'!$A$13:$A$60,1)="M"))=6,SUMPRODUCT(('Juan Montalvo (San Sebastián)'!$B$13:$B$60=D38)*(RIGHT('Juan Montalvo (San Sebastián)'!$A$13:$A$60,1)="M")*VALUE("0"&amp;SUBSTITUTE(SUBSTITUTE(UPPER('Juan Montalvo (San Sebastián)'!$A$13:$A$60),"F",""),"M","")))=21,SUMPRODUCT(('Juan Montalvo (San Sebastián)'!$B$13:$B$60=D38)*(RIGHT('Juan Montalvo (San Sebastián)'!$A$13:$A$60,1)="M")*VALUE("0"&amp;SUBSTITUTE(SUBSTITUTE(UPPER('Juan Montalvo (San Sebastián)'!$A$13:$A$60),"F",""),"M",""))^2)=91),"✔ Verificado","✖ Revisar"),"✖ Revisar")</f>
        <v>✖ Revisar</v>
      </c>
    </row>
    <row r="39" spans="1:16" x14ac:dyDescent="0.2">
      <c r="A39" s="32" t="s">
        <v>9</v>
      </c>
      <c r="B39" s="33" t="s">
        <v>266</v>
      </c>
      <c r="C39" s="33">
        <v>6442</v>
      </c>
      <c r="D39" s="32" t="s">
        <v>158</v>
      </c>
      <c r="E39" s="33">
        <v>2800</v>
      </c>
      <c r="F39" s="33">
        <f>SUMIFS('Juan Montalvo (San Sebastián)'!$E$5:$E$9,'Juan Montalvo (San Sebastián)'!$B$5:$B$9,D39)</f>
        <v>2800</v>
      </c>
      <c r="G39" s="33">
        <v>4</v>
      </c>
      <c r="H39" s="33">
        <f>COUNTIFS('Juan Montalvo (San Sebastián)'!$B$13:$B$60,D39,'Juan Montalvo (San Sebastián)'!$A$13:$A$60,"*F")</f>
        <v>4</v>
      </c>
      <c r="I39" s="33">
        <v>4</v>
      </c>
      <c r="J39" s="33">
        <f>COUNTIFS('Juan Montalvo (San Sebastián)'!$B$13:$B$60,D39,'Juan Montalvo (San Sebastián)'!$A$13:$A$60,"*M")</f>
        <v>4</v>
      </c>
      <c r="K39" s="33" t="s">
        <v>295</v>
      </c>
      <c r="L39" s="33" t="str">
        <f>IFERROR(IF(H39=0,"—",(1000-SUMPRODUCT(MAX(('Juan Montalvo (San Sebastián)'!$B$13:$B$60=D39)*(RIGHT('Juan Montalvo (San Sebastián)'!$A$13:$A$60,1)="F")*(1000-VALUE("0"&amp;SUBSTITUTE(SUBSTITUTE(UPPER('Juan Montalvo (San Sebastián)'!$A$13:$A$60),"F",""),"M",""))))))&amp;"F – "&amp;SUMPRODUCT(MAX(('Juan Montalvo (San Sebastián)'!$B$13:$B$60=D39)*(RIGHT('Juan Montalvo (San Sebastián)'!$A$13:$A$60,1)="F")*VALUE("0"&amp;SUBSTITUTE(SUBSTITUTE(UPPER('Juan Montalvo (San Sebastián)'!$A$13:$A$60),"F",""),"M",""))))&amp;"F"),"✖ error")</f>
        <v>17F – 17F</v>
      </c>
      <c r="M39" s="33" t="s">
        <v>296</v>
      </c>
      <c r="N39" s="33" t="str">
        <f>IFERROR(IF(J39=0,"—",(1000-SUMPRODUCT(MAX(('Juan Montalvo (San Sebastián)'!$B$13:$B$60=D39)*(RIGHT('Juan Montalvo (San Sebastián)'!$A$13:$A$60,1)="M")*(1000-VALUE("0"&amp;SUBSTITUTE(SUBSTITUTE(UPPER('Juan Montalvo (San Sebastián)'!$A$13:$A$60),"F",""),"M",""))))))&amp;"M – "&amp;SUMPRODUCT(MAX(('Juan Montalvo (San Sebastián)'!$B$13:$B$60=D39)*(RIGHT('Juan Montalvo (San Sebastián)'!$A$13:$A$60,1)="M")*VALUE("0"&amp;SUBSTITUTE(SUBSTITUTE(UPPER('Juan Montalvo (San Sebastián)'!$A$13:$A$60),"F",""),"M",""))))&amp;"M"),"✖ error")</f>
        <v>1000M – 0M</v>
      </c>
      <c r="O39" s="33">
        <v>8</v>
      </c>
      <c r="P39" s="33" t="str">
        <f>IFERROR(IF(AND(E39=F39,G39=H39,I39=J39,K39=L39,M39=N39,SUMPRODUCT(('Juan Montalvo (San Sebastián)'!$B$13:$B$60=D39)*(RIGHT('Juan Montalvo (San Sebastián)'!$A$13:$A$60,1)="F"))=4,SUMPRODUCT(('Juan Montalvo (San Sebastián)'!$B$13:$B$60=D39)*(RIGHT('Juan Montalvo (San Sebastián)'!$A$13:$A$60,1)="F")*VALUE("0"&amp;SUBSTITUTE(SUBSTITUTE(UPPER('Juan Montalvo (San Sebastián)'!$A$13:$A$60),"F",""),"M","")))=42,SUMPRODUCT(('Juan Montalvo (San Sebastián)'!$B$13:$B$60=D39)*(RIGHT('Juan Montalvo (San Sebastián)'!$A$13:$A$60,1)="F")*VALUE("0"&amp;SUBSTITUTE(SUBSTITUTE(UPPER('Juan Montalvo (San Sebastián)'!$A$13:$A$60),"F",""),"M",""))^2)=446,SUMPRODUCT(('Juan Montalvo (San Sebastián)'!$B$13:$B$60=D39)*(RIGHT('Juan Montalvo (San Sebastián)'!$A$13:$A$60,1)="M"))=4,SUMPRODUCT(('Juan Montalvo (San Sebastián)'!$B$13:$B$60=D39)*(RIGHT('Juan Montalvo (San Sebastián)'!$A$13:$A$60,1)="M")*VALUE("0"&amp;SUBSTITUTE(SUBSTITUTE(UPPER('Juan Montalvo (San Sebastián)'!$A$13:$A$60),"F",""),"M","")))=34,SUMPRODUCT(('Juan Montalvo (San Sebastián)'!$B$13:$B$60=D39)*(RIGHT('Juan Montalvo (San Sebastián)'!$A$13:$A$60,1)="M")*VALUE("0"&amp;SUBSTITUTE(SUBSTITUTE(UPPER('Juan Montalvo (San Sebastián)'!$A$13:$A$60),"F",""),"M",""))^2)=294),"✔ Verificado","✖ Revisar"),"✖ Revisar")</f>
        <v>✖ Revisar</v>
      </c>
    </row>
    <row r="40" spans="1:16" x14ac:dyDescent="0.2">
      <c r="A40" s="32" t="s">
        <v>9</v>
      </c>
      <c r="B40" s="33" t="s">
        <v>266</v>
      </c>
      <c r="C40" s="33">
        <v>2013</v>
      </c>
      <c r="D40" s="32" t="s">
        <v>160</v>
      </c>
      <c r="E40" s="33">
        <v>3500</v>
      </c>
      <c r="F40" s="33">
        <f>SUMIFS('Juan Montalvo (San Sebastián)'!$E$5:$E$9,'Juan Montalvo (San Sebastián)'!$B$5:$B$9,D40)</f>
        <v>3500</v>
      </c>
      <c r="G40" s="33">
        <v>5</v>
      </c>
      <c r="H40" s="33">
        <f>COUNTIFS('Juan Montalvo (San Sebastián)'!$B$13:$B$60,D40,'Juan Montalvo (San Sebastián)'!$A$13:$A$60,"*F")</f>
        <v>5</v>
      </c>
      <c r="I40" s="33">
        <v>5</v>
      </c>
      <c r="J40" s="33">
        <f>COUNTIFS('Juan Montalvo (San Sebastián)'!$B$13:$B$60,D40,'Juan Montalvo (San Sebastián)'!$A$13:$A$60,"*M")</f>
        <v>5</v>
      </c>
      <c r="K40" s="33" t="s">
        <v>297</v>
      </c>
      <c r="L40" s="33" t="str">
        <f>IFERROR(IF(H40=0,"—",(1000-SUMPRODUCT(MAX(('Juan Montalvo (San Sebastián)'!$B$13:$B$60=D40)*(RIGHT('Juan Montalvo (San Sebastián)'!$A$13:$A$60,1)="F")*(1000-VALUE("0"&amp;SUBSTITUTE(SUBSTITUTE(UPPER('Juan Montalvo (San Sebastián)'!$A$13:$A$60),"F",""),"M",""))))))&amp;"F – "&amp;SUMPRODUCT(MAX(('Juan Montalvo (San Sebastián)'!$B$13:$B$60=D40)*(RIGHT('Juan Montalvo (San Sebastián)'!$A$13:$A$60,1)="F")*VALUE("0"&amp;SUBSTITUTE(SUBSTITUTE(UPPER('Juan Montalvo (San Sebastián)'!$A$13:$A$60),"F",""),"M",""))))&amp;"F"),"✖ error")</f>
        <v>1000F – 0F</v>
      </c>
      <c r="M40" s="33" t="s">
        <v>298</v>
      </c>
      <c r="N40" s="33" t="str">
        <f>IFERROR(IF(J40=0,"—",(1000-SUMPRODUCT(MAX(('Juan Montalvo (San Sebastián)'!$B$13:$B$60=D40)*(RIGHT('Juan Montalvo (San Sebastián)'!$A$13:$A$60,1)="M")*(1000-VALUE("0"&amp;SUBSTITUTE(SUBSTITUTE(UPPER('Juan Montalvo (San Sebastián)'!$A$13:$A$60),"F",""),"M",""))))))&amp;"M – "&amp;SUMPRODUCT(MAX(('Juan Montalvo (San Sebastián)'!$B$13:$B$60=D40)*(RIGHT('Juan Montalvo (San Sebastián)'!$A$13:$A$60,1)="M")*VALUE("0"&amp;SUBSTITUTE(SUBSTITUTE(UPPER('Juan Montalvo (San Sebastián)'!$A$13:$A$60),"F",""),"M",""))))&amp;"M"),"✖ error")</f>
        <v>11M – 11M</v>
      </c>
      <c r="O40" s="33">
        <v>10</v>
      </c>
      <c r="P40" s="33" t="str">
        <f>IFERROR(IF(AND(E40=F40,G40=H40,I40=J40,K40=L40,M40=N40,SUMPRODUCT(('Juan Montalvo (San Sebastián)'!$B$13:$B$60=D40)*(RIGHT('Juan Montalvo (San Sebastián)'!$A$13:$A$60,1)="F"))=5,SUMPRODUCT(('Juan Montalvo (San Sebastián)'!$B$13:$B$60=D40)*(RIGHT('Juan Montalvo (San Sebastián)'!$A$13:$A$60,1)="F")*VALUE("0"&amp;SUBSTITUTE(SUBSTITUTE(UPPER('Juan Montalvo (San Sebastián)'!$A$13:$A$60),"F",""),"M","")))=75,SUMPRODUCT(('Juan Montalvo (San Sebastián)'!$B$13:$B$60=D40)*(RIGHT('Juan Montalvo (San Sebastián)'!$A$13:$A$60,1)="F")*VALUE("0"&amp;SUBSTITUTE(SUBSTITUTE(UPPER('Juan Montalvo (San Sebastián)'!$A$13:$A$60),"F",""),"M",""))^2)=1135,SUMPRODUCT(('Juan Montalvo (San Sebastián)'!$B$13:$B$60=D40)*(RIGHT('Juan Montalvo (San Sebastián)'!$A$13:$A$60,1)="M"))=5,SUMPRODUCT(('Juan Montalvo (San Sebastián)'!$B$13:$B$60=D40)*(RIGHT('Juan Montalvo (San Sebastián)'!$A$13:$A$60,1)="M")*VALUE("0"&amp;SUBSTITUTE(SUBSTITUTE(UPPER('Juan Montalvo (San Sebastián)'!$A$13:$A$60),"F",""),"M","")))=65,SUMPRODUCT(('Juan Montalvo (San Sebastián)'!$B$13:$B$60=D40)*(RIGHT('Juan Montalvo (San Sebastián)'!$A$13:$A$60,1)="M")*VALUE("0"&amp;SUBSTITUTE(SUBSTITUTE(UPPER('Juan Montalvo (San Sebastián)'!$A$13:$A$60),"F",""),"M",""))^2)=855),"✔ Verificado","✖ Revisar"),"✖ Revisar")</f>
        <v>✖ Revisar</v>
      </c>
    </row>
    <row r="41" spans="1:16" x14ac:dyDescent="0.2">
      <c r="A41" s="32" t="s">
        <v>9</v>
      </c>
      <c r="B41" s="33" t="s">
        <v>266</v>
      </c>
      <c r="C41" s="33">
        <v>6461</v>
      </c>
      <c r="D41" s="32" t="s">
        <v>162</v>
      </c>
      <c r="E41" s="33">
        <v>2800</v>
      </c>
      <c r="F41" s="33">
        <f>SUMIFS('Juan Montalvo (San Sebastián)'!$E$5:$E$9,'Juan Montalvo (San Sebastián)'!$B$5:$B$9,D41)</f>
        <v>2800</v>
      </c>
      <c r="G41" s="33">
        <v>4</v>
      </c>
      <c r="H41" s="33">
        <f>COUNTIFS('Juan Montalvo (San Sebastián)'!$B$13:$B$60,D41,'Juan Montalvo (San Sebastián)'!$A$13:$A$60,"*F")</f>
        <v>4</v>
      </c>
      <c r="I41" s="33">
        <v>4</v>
      </c>
      <c r="J41" s="33">
        <f>COUNTIFS('Juan Montalvo (San Sebastián)'!$B$13:$B$60,D41,'Juan Montalvo (San Sebastián)'!$A$13:$A$60,"*M")</f>
        <v>4</v>
      </c>
      <c r="K41" s="33" t="s">
        <v>299</v>
      </c>
      <c r="L41" s="33" t="str">
        <f>IFERROR(IF(H41=0,"—",(1000-SUMPRODUCT(MAX(('Juan Montalvo (San Sebastián)'!$B$13:$B$60=D41)*(RIGHT('Juan Montalvo (San Sebastián)'!$A$13:$A$60,1)="F")*(1000-VALUE("0"&amp;SUBSTITUTE(SUBSTITUTE(UPPER('Juan Montalvo (San Sebastián)'!$A$13:$A$60),"F",""),"M",""))))))&amp;"F – "&amp;SUMPRODUCT(MAX(('Juan Montalvo (San Sebastián)'!$B$13:$B$60=D41)*(RIGHT('Juan Montalvo (San Sebastián)'!$A$13:$A$60,1)="F")*VALUE("0"&amp;SUBSTITUTE(SUBSTITUTE(UPPER('Juan Montalvo (San Sebastián)'!$A$13:$A$60),"F",""),"M",""))))&amp;"F"),"✖ error")</f>
        <v>1000F – 0F</v>
      </c>
      <c r="M41" s="33" t="s">
        <v>300</v>
      </c>
      <c r="N41" s="33" t="str">
        <f>IFERROR(IF(J41=0,"—",(1000-SUMPRODUCT(MAX(('Juan Montalvo (San Sebastián)'!$B$13:$B$60=D41)*(RIGHT('Juan Montalvo (San Sebastián)'!$A$13:$A$60,1)="M")*(1000-VALUE("0"&amp;SUBSTITUTE(SUBSTITUTE(UPPER('Juan Montalvo (San Sebastián)'!$A$13:$A$60),"F",""),"M",""))))))&amp;"M – "&amp;SUMPRODUCT(MAX(('Juan Montalvo (San Sebastián)'!$B$13:$B$60=D41)*(RIGHT('Juan Montalvo (San Sebastián)'!$A$13:$A$60,1)="M")*VALUE("0"&amp;SUBSTITUTE(SUBSTITUTE(UPPER('Juan Montalvo (San Sebastián)'!$A$13:$A$60),"F",""),"M",""))))&amp;"M"),"✖ error")</f>
        <v>12M – 12M</v>
      </c>
      <c r="O41" s="33">
        <v>8</v>
      </c>
      <c r="P41" s="33" t="str">
        <f>IFERROR(IF(AND(E41=F41,G41=H41,I41=J41,K41=L41,M41=N41,SUMPRODUCT(('Juan Montalvo (San Sebastián)'!$B$13:$B$60=D41)*(RIGHT('Juan Montalvo (San Sebastián)'!$A$13:$A$60,1)="F"))=4,SUMPRODUCT(('Juan Montalvo (San Sebastián)'!$B$13:$B$60=D41)*(RIGHT('Juan Montalvo (San Sebastián)'!$A$13:$A$60,1)="F")*VALUE("0"&amp;SUBSTITUTE(SUBSTITUTE(UPPER('Juan Montalvo (San Sebastián)'!$A$13:$A$60),"F",""),"M","")))=78,SUMPRODUCT(('Juan Montalvo (San Sebastián)'!$B$13:$B$60=D41)*(RIGHT('Juan Montalvo (San Sebastián)'!$A$13:$A$60,1)="F")*VALUE("0"&amp;SUBSTITUTE(SUBSTITUTE(UPPER('Juan Montalvo (San Sebastián)'!$A$13:$A$60),"F",""),"M",""))^2)=1526,SUMPRODUCT(('Juan Montalvo (San Sebastián)'!$B$13:$B$60=D41)*(RIGHT('Juan Montalvo (San Sebastián)'!$A$13:$A$60,1)="M"))=4,SUMPRODUCT(('Juan Montalvo (San Sebastián)'!$B$13:$B$60=D41)*(RIGHT('Juan Montalvo (San Sebastián)'!$A$13:$A$60,1)="M")*VALUE("0"&amp;SUBSTITUTE(SUBSTITUTE(UPPER('Juan Montalvo (San Sebastián)'!$A$13:$A$60),"F",""),"M","")))=70,SUMPRODUCT(('Juan Montalvo (San Sebastián)'!$B$13:$B$60=D41)*(RIGHT('Juan Montalvo (San Sebastián)'!$A$13:$A$60,1)="M")*VALUE("0"&amp;SUBSTITUTE(SUBSTITUTE(UPPER('Juan Montalvo (San Sebastián)'!$A$13:$A$60),"F",""),"M",""))^2)=1230),"✔ Verificado","✖ Revisar"),"✖ Revisar")</f>
        <v>✖ Revisar</v>
      </c>
    </row>
    <row r="42" spans="1:16" x14ac:dyDescent="0.2">
      <c r="A42" s="32" t="s">
        <v>9</v>
      </c>
      <c r="B42" s="33" t="s">
        <v>266</v>
      </c>
      <c r="C42" s="33">
        <v>6459</v>
      </c>
      <c r="D42" s="32" t="s">
        <v>164</v>
      </c>
      <c r="E42" s="33">
        <v>2488</v>
      </c>
      <c r="F42" s="33">
        <f>SUMIFS('Juan Montalvo (San Sebastián)'!$E$5:$E$9,'Juan Montalvo (San Sebastián)'!$B$5:$B$9,D42)</f>
        <v>2488</v>
      </c>
      <c r="G42" s="33">
        <v>4</v>
      </c>
      <c r="H42" s="33">
        <f>COUNTIFS('Juan Montalvo (San Sebastián)'!$B$13:$B$60,D42,'Juan Montalvo (San Sebastián)'!$A$13:$A$60,"*F")</f>
        <v>4</v>
      </c>
      <c r="I42" s="33">
        <v>4</v>
      </c>
      <c r="J42" s="33">
        <f>COUNTIFS('Juan Montalvo (San Sebastián)'!$B$13:$B$60,D42,'Juan Montalvo (San Sebastián)'!$A$13:$A$60,"*M")</f>
        <v>4</v>
      </c>
      <c r="K42" s="33" t="s">
        <v>301</v>
      </c>
      <c r="L42" s="33" t="str">
        <f>IFERROR(IF(H42=0,"—",(1000-SUMPRODUCT(MAX(('Juan Montalvo (San Sebastián)'!$B$13:$B$60=D42)*(RIGHT('Juan Montalvo (San Sebastián)'!$A$13:$A$60,1)="F")*(1000-VALUE("0"&amp;SUBSTITUTE(SUBSTITUTE(UPPER('Juan Montalvo (San Sebastián)'!$A$13:$A$60),"F",""),"M",""))))))&amp;"F – "&amp;SUMPRODUCT(MAX(('Juan Montalvo (San Sebastián)'!$B$13:$B$60=D42)*(RIGHT('Juan Montalvo (San Sebastián)'!$A$13:$A$60,1)="F")*VALUE("0"&amp;SUBSTITUTE(SUBSTITUTE(UPPER('Juan Montalvo (San Sebastián)'!$A$13:$A$60),"F",""),"M",""))))&amp;"F"),"✖ error")</f>
        <v>1000F – 0F</v>
      </c>
      <c r="M42" s="33" t="s">
        <v>302</v>
      </c>
      <c r="N42" s="33" t="str">
        <f>IFERROR(IF(J42=0,"—",(1000-SUMPRODUCT(MAX(('Juan Montalvo (San Sebastián)'!$B$13:$B$60=D42)*(RIGHT('Juan Montalvo (San Sebastián)'!$A$13:$A$60,1)="M")*(1000-VALUE("0"&amp;SUBSTITUTE(SUBSTITUTE(UPPER('Juan Montalvo (San Sebastián)'!$A$13:$A$60),"F",""),"M",""))))))&amp;"M – "&amp;SUMPRODUCT(MAX(('Juan Montalvo (San Sebastián)'!$B$13:$B$60=D42)*(RIGHT('Juan Montalvo (San Sebastián)'!$A$13:$A$60,1)="M")*VALUE("0"&amp;SUBSTITUTE(SUBSTITUTE(UPPER('Juan Montalvo (San Sebastián)'!$A$13:$A$60),"F",""),"M",""))))&amp;"M"),"✖ error")</f>
        <v>13M – 13M</v>
      </c>
      <c r="O42" s="33">
        <v>8</v>
      </c>
      <c r="P42" s="33" t="str">
        <f>IFERROR(IF(AND(E42=F42,G42=H42,I42=J42,K42=L42,M42=N42,SUMPRODUCT(('Juan Montalvo (San Sebastián)'!$B$13:$B$60=D42)*(RIGHT('Juan Montalvo (San Sebastián)'!$A$13:$A$60,1)="F"))=4,SUMPRODUCT(('Juan Montalvo (San Sebastián)'!$B$13:$B$60=D42)*(RIGHT('Juan Montalvo (San Sebastián)'!$A$13:$A$60,1)="F")*VALUE("0"&amp;SUBSTITUTE(SUBSTITUTE(UPPER('Juan Montalvo (San Sebastián)'!$A$13:$A$60),"F",""),"M","")))=94,SUMPRODUCT(('Juan Montalvo (San Sebastián)'!$B$13:$B$60=D42)*(RIGHT('Juan Montalvo (San Sebastián)'!$A$13:$A$60,1)="F")*VALUE("0"&amp;SUBSTITUTE(SUBSTITUTE(UPPER('Juan Montalvo (San Sebastián)'!$A$13:$A$60),"F",""),"M",""))^2)=2214,SUMPRODUCT(('Juan Montalvo (San Sebastián)'!$B$13:$B$60=D42)*(RIGHT('Juan Montalvo (San Sebastián)'!$A$13:$A$60,1)="M"))=4,SUMPRODUCT(('Juan Montalvo (San Sebastián)'!$B$13:$B$60=D42)*(RIGHT('Juan Montalvo (San Sebastián)'!$A$13:$A$60,1)="M")*VALUE("0"&amp;SUBSTITUTE(SUBSTITUTE(UPPER('Juan Montalvo (San Sebastián)'!$A$13:$A$60),"F",""),"M","")))=86,SUMPRODUCT(('Juan Montalvo (San Sebastián)'!$B$13:$B$60=D42)*(RIGHT('Juan Montalvo (San Sebastián)'!$A$13:$A$60,1)="M")*VALUE("0"&amp;SUBSTITUTE(SUBSTITUTE(UPPER('Juan Montalvo (San Sebastián)'!$A$13:$A$60),"F",""),"M",""))^2)=1854),"✔ Verificado","✖ Revisar"),"✖ Revisar")</f>
        <v>✖ Revisar</v>
      </c>
    </row>
    <row r="43" spans="1:16" x14ac:dyDescent="0.2">
      <c r="A43" s="32" t="s">
        <v>10</v>
      </c>
      <c r="B43" s="33" t="s">
        <v>266</v>
      </c>
      <c r="C43" s="33">
        <v>6323</v>
      </c>
      <c r="D43" s="32" t="s">
        <v>167</v>
      </c>
      <c r="E43" s="33">
        <v>2800</v>
      </c>
      <c r="F43" s="33">
        <f>SUMIFS('La Matriz'!$E$5:$E$12,'La Matriz'!$B$5:$B$12,D43)</f>
        <v>2800</v>
      </c>
      <c r="G43" s="33">
        <v>4</v>
      </c>
      <c r="H43" s="33">
        <f>COUNTIFS('La Matriz'!$B$16:$B$91,D43,'La Matriz'!$A$16:$A$91,"*F")</f>
        <v>4</v>
      </c>
      <c r="I43" s="33">
        <v>4</v>
      </c>
      <c r="J43" s="33">
        <f>COUNTIFS('La Matriz'!$B$16:$B$91,D43,'La Matriz'!$A$16:$A$91,"*M")</f>
        <v>4</v>
      </c>
      <c r="K43" s="33" t="s">
        <v>303</v>
      </c>
      <c r="L43" s="33" t="str">
        <f>IFERROR(IF(H43=0,"—",(1000-SUMPRODUCT(MAX(('La Matriz'!$B$16:$B$91=D43)*(RIGHT('La Matriz'!$A$16:$A$91,1)="F")*(1000-VALUE("0"&amp;SUBSTITUTE(SUBSTITUTE(UPPER('La Matriz'!$A$16:$A$91),"F",""),"M",""))))))&amp;"F – "&amp;SUMPRODUCT(MAX(('La Matriz'!$B$16:$B$91=D43)*(RIGHT('La Matriz'!$A$16:$A$91,1)="F")*VALUE("0"&amp;SUBSTITUTE(SUBSTITUTE(UPPER('La Matriz'!$A$16:$A$91),"F",""),"M",""))))&amp;"F"),"✖ error")</f>
        <v>16F – 16F</v>
      </c>
      <c r="M43" s="33" t="s">
        <v>304</v>
      </c>
      <c r="N43" s="33" t="str">
        <f>IFERROR(IF(J43=0,"—",(1000-SUMPRODUCT(MAX(('La Matriz'!$B$16:$B$91=D43)*(RIGHT('La Matriz'!$A$16:$A$91,1)="M")*(1000-VALUE("0"&amp;SUBSTITUTE(SUBSTITUTE(UPPER('La Matriz'!$A$16:$A$91),"F",""),"M",""))))))&amp;"M – "&amp;SUMPRODUCT(MAX(('La Matriz'!$B$16:$B$91=D43)*(RIGHT('La Matriz'!$A$16:$A$91,1)="M")*VALUE("0"&amp;SUBSTITUTE(SUBSTITUTE(UPPER('La Matriz'!$A$16:$A$91),"F",""),"M",""))))&amp;"M"),"✖ error")</f>
        <v>1000M – 0M</v>
      </c>
      <c r="O43" s="33">
        <v>8</v>
      </c>
      <c r="P43" s="33" t="str">
        <f>IFERROR(IF(AND(E43=F43,G43=H43,I43=J43,K43=L43,M43=N43,SUMPRODUCT(('La Matriz'!$B$16:$B$91=D43)*(RIGHT('La Matriz'!$A$16:$A$91,1)="F"))=4,SUMPRODUCT(('La Matriz'!$B$16:$B$91=D43)*(RIGHT('La Matriz'!$A$16:$A$91,1)="F")*VALUE("0"&amp;SUBSTITUTE(SUBSTITUTE(UPPER('La Matriz'!$A$16:$A$91),"F",""),"M","")))=10,SUMPRODUCT(('La Matriz'!$B$16:$B$91=D43)*(RIGHT('La Matriz'!$A$16:$A$91,1)="F")*VALUE("0"&amp;SUBSTITUTE(SUBSTITUTE(UPPER('La Matriz'!$A$16:$A$91),"F",""),"M",""))^2)=30,SUMPRODUCT(('La Matriz'!$B$16:$B$91=D43)*(RIGHT('La Matriz'!$A$16:$A$91,1)="M"))=4,SUMPRODUCT(('La Matriz'!$B$16:$B$91=D43)*(RIGHT('La Matriz'!$A$16:$A$91,1)="M")*VALUE("0"&amp;SUBSTITUTE(SUBSTITUTE(UPPER('La Matriz'!$A$16:$A$91),"F",""),"M","")))=10,SUMPRODUCT(('La Matriz'!$B$16:$B$91=D43)*(RIGHT('La Matriz'!$A$16:$A$91,1)="M")*VALUE("0"&amp;SUBSTITUTE(SUBSTITUTE(UPPER('La Matriz'!$A$16:$A$91),"F",""),"M",""))^2)=30),"✔ Verificado","✖ Revisar"),"✖ Revisar")</f>
        <v>✖ Revisar</v>
      </c>
    </row>
    <row r="44" spans="1:16" x14ac:dyDescent="0.2">
      <c r="A44" s="32" t="s">
        <v>10</v>
      </c>
      <c r="B44" s="33" t="s">
        <v>266</v>
      </c>
      <c r="C44" s="33">
        <v>1581</v>
      </c>
      <c r="D44" s="32" t="s">
        <v>169</v>
      </c>
      <c r="E44" s="33">
        <v>2800</v>
      </c>
      <c r="F44" s="33">
        <f>SUMIFS('La Matriz'!$E$5:$E$12,'La Matriz'!$B$5:$B$12,D44)</f>
        <v>2800</v>
      </c>
      <c r="G44" s="33">
        <v>4</v>
      </c>
      <c r="H44" s="33">
        <f>COUNTIFS('La Matriz'!$B$16:$B$91,D44,'La Matriz'!$A$16:$A$91,"*F")</f>
        <v>4</v>
      </c>
      <c r="I44" s="33">
        <v>4</v>
      </c>
      <c r="J44" s="33">
        <f>COUNTIFS('La Matriz'!$B$16:$B$91,D44,'La Matriz'!$A$16:$A$91,"*M")</f>
        <v>4</v>
      </c>
      <c r="K44" s="33" t="s">
        <v>305</v>
      </c>
      <c r="L44" s="33" t="str">
        <f>IFERROR(IF(H44=0,"—",(1000-SUMPRODUCT(MAX(('La Matriz'!$B$16:$B$91=D44)*(RIGHT('La Matriz'!$A$16:$A$91,1)="F")*(1000-VALUE("0"&amp;SUBSTITUTE(SUBSTITUTE(UPPER('La Matriz'!$A$16:$A$91),"F",""),"M",""))))))&amp;"F – "&amp;SUMPRODUCT(MAX(('La Matriz'!$B$16:$B$91=D44)*(RIGHT('La Matriz'!$A$16:$A$91,1)="F")*VALUE("0"&amp;SUBSTITUTE(SUBSTITUTE(UPPER('La Matriz'!$A$16:$A$91),"F",""),"M",""))))&amp;"F"),"✖ error")</f>
        <v>17F – 17F</v>
      </c>
      <c r="M44" s="33" t="s">
        <v>306</v>
      </c>
      <c r="N44" s="33" t="str">
        <f>IFERROR(IF(J44=0,"—",(1000-SUMPRODUCT(MAX(('La Matriz'!$B$16:$B$91=D44)*(RIGHT('La Matriz'!$A$16:$A$91,1)="M")*(1000-VALUE("0"&amp;SUBSTITUTE(SUBSTITUTE(UPPER('La Matriz'!$A$16:$A$91),"F",""),"M",""))))))&amp;"M – "&amp;SUMPRODUCT(MAX(('La Matriz'!$B$16:$B$91=D44)*(RIGHT('La Matriz'!$A$16:$A$91,1)="M")*VALUE("0"&amp;SUBSTITUTE(SUBSTITUTE(UPPER('La Matriz'!$A$16:$A$91),"F",""),"M",""))))&amp;"M"),"✖ error")</f>
        <v>1000M – 0M</v>
      </c>
      <c r="O44" s="33">
        <v>8</v>
      </c>
      <c r="P44" s="33" t="str">
        <f>IFERROR(IF(AND(E44=F44,G44=H44,I44=J44,K44=L44,M44=N44,SUMPRODUCT(('La Matriz'!$B$16:$B$91=D44)*(RIGHT('La Matriz'!$A$16:$A$91,1)="F"))=4,SUMPRODUCT(('La Matriz'!$B$16:$B$91=D44)*(RIGHT('La Matriz'!$A$16:$A$91,1)="F")*VALUE("0"&amp;SUBSTITUTE(SUBSTITUTE(UPPER('La Matriz'!$A$16:$A$91),"F",""),"M","")))=26,SUMPRODUCT(('La Matriz'!$B$16:$B$91=D44)*(RIGHT('La Matriz'!$A$16:$A$91,1)="F")*VALUE("0"&amp;SUBSTITUTE(SUBSTITUTE(UPPER('La Matriz'!$A$16:$A$91),"F",""),"M",""))^2)=174,SUMPRODUCT(('La Matriz'!$B$16:$B$91=D44)*(RIGHT('La Matriz'!$A$16:$A$91,1)="M"))=4,SUMPRODUCT(('La Matriz'!$B$16:$B$91=D44)*(RIGHT('La Matriz'!$A$16:$A$91,1)="M")*VALUE("0"&amp;SUBSTITUTE(SUBSTITUTE(UPPER('La Matriz'!$A$16:$A$91),"F",""),"M","")))=26,SUMPRODUCT(('La Matriz'!$B$16:$B$91=D44)*(RIGHT('La Matriz'!$A$16:$A$91,1)="M")*VALUE("0"&amp;SUBSTITUTE(SUBSTITUTE(UPPER('La Matriz'!$A$16:$A$91),"F",""),"M",""))^2)=174),"✔ Verificado","✖ Revisar"),"✖ Revisar")</f>
        <v>✖ Revisar</v>
      </c>
    </row>
    <row r="45" spans="1:16" x14ac:dyDescent="0.2">
      <c r="A45" s="32" t="s">
        <v>10</v>
      </c>
      <c r="B45" s="33" t="s">
        <v>266</v>
      </c>
      <c r="C45" s="33">
        <v>1582</v>
      </c>
      <c r="D45" s="32" t="s">
        <v>171</v>
      </c>
      <c r="E45" s="33">
        <v>2800</v>
      </c>
      <c r="F45" s="33">
        <f>SUMIFS('La Matriz'!$E$5:$E$12,'La Matriz'!$B$5:$B$12,D45)</f>
        <v>2800</v>
      </c>
      <c r="G45" s="33">
        <v>4</v>
      </c>
      <c r="H45" s="33">
        <f>COUNTIFS('La Matriz'!$B$16:$B$91,D45,'La Matriz'!$A$16:$A$91,"*F")</f>
        <v>4</v>
      </c>
      <c r="I45" s="33">
        <v>4</v>
      </c>
      <c r="J45" s="33">
        <f>COUNTIFS('La Matriz'!$B$16:$B$91,D45,'La Matriz'!$A$16:$A$91,"*M")</f>
        <v>4</v>
      </c>
      <c r="K45" s="33" t="s">
        <v>295</v>
      </c>
      <c r="L45" s="33" t="str">
        <f>IFERROR(IF(H45=0,"—",(1000-SUMPRODUCT(MAX(('La Matriz'!$B$16:$B$91=D45)*(RIGHT('La Matriz'!$A$16:$A$91,1)="F")*(1000-VALUE("0"&amp;SUBSTITUTE(SUBSTITUTE(UPPER('La Matriz'!$A$16:$A$91),"F",""),"M",""))))))&amp;"F – "&amp;SUMPRODUCT(MAX(('La Matriz'!$B$16:$B$91=D45)*(RIGHT('La Matriz'!$A$16:$A$91,1)="F")*VALUE("0"&amp;SUBSTITUTE(SUBSTITUTE(UPPER('La Matriz'!$A$16:$A$91),"F",""),"M",""))))&amp;"F"),"✖ error")</f>
        <v>18F – 18F</v>
      </c>
      <c r="M45" s="33" t="s">
        <v>307</v>
      </c>
      <c r="N45" s="33" t="str">
        <f>IFERROR(IF(J45=0,"—",(1000-SUMPRODUCT(MAX(('La Matriz'!$B$16:$B$91=D45)*(RIGHT('La Matriz'!$A$16:$A$91,1)="M")*(1000-VALUE("0"&amp;SUBSTITUTE(SUBSTITUTE(UPPER('La Matriz'!$A$16:$A$91),"F",""),"M",""))))))&amp;"M – "&amp;SUMPRODUCT(MAX(('La Matriz'!$B$16:$B$91=D45)*(RIGHT('La Matriz'!$A$16:$A$91,1)="M")*VALUE("0"&amp;SUBSTITUTE(SUBSTITUTE(UPPER('La Matriz'!$A$16:$A$91),"F",""),"M",""))))&amp;"M"),"✖ error")</f>
        <v>1000M – 0M</v>
      </c>
      <c r="O45" s="33">
        <v>8</v>
      </c>
      <c r="P45" s="33" t="str">
        <f>IFERROR(IF(AND(E45=F45,G45=H45,I45=J45,K45=L45,M45=N45,SUMPRODUCT(('La Matriz'!$B$16:$B$91=D45)*(RIGHT('La Matriz'!$A$16:$A$91,1)="F"))=4,SUMPRODUCT(('La Matriz'!$B$16:$B$91=D45)*(RIGHT('La Matriz'!$A$16:$A$91,1)="F")*VALUE("0"&amp;SUBSTITUTE(SUBSTITUTE(UPPER('La Matriz'!$A$16:$A$91),"F",""),"M","")))=42,SUMPRODUCT(('La Matriz'!$B$16:$B$91=D45)*(RIGHT('La Matriz'!$A$16:$A$91,1)="F")*VALUE("0"&amp;SUBSTITUTE(SUBSTITUTE(UPPER('La Matriz'!$A$16:$A$91),"F",""),"M",""))^2)=446,SUMPRODUCT(('La Matriz'!$B$16:$B$91=D45)*(RIGHT('La Matriz'!$A$16:$A$91,1)="M"))=4,SUMPRODUCT(('La Matriz'!$B$16:$B$91=D45)*(RIGHT('La Matriz'!$A$16:$A$91,1)="M")*VALUE("0"&amp;SUBSTITUTE(SUBSTITUTE(UPPER('La Matriz'!$A$16:$A$91),"F",""),"M","")))=42,SUMPRODUCT(('La Matriz'!$B$16:$B$91=D45)*(RIGHT('La Matriz'!$A$16:$A$91,1)="M")*VALUE("0"&amp;SUBSTITUTE(SUBSTITUTE(UPPER('La Matriz'!$A$16:$A$91),"F",""),"M",""))^2)=446),"✔ Verificado","✖ Revisar"),"✖ Revisar")</f>
        <v>✖ Revisar</v>
      </c>
    </row>
    <row r="46" spans="1:16" x14ac:dyDescent="0.2">
      <c r="A46" s="32" t="s">
        <v>10</v>
      </c>
      <c r="B46" s="33" t="s">
        <v>266</v>
      </c>
      <c r="C46" s="33">
        <v>1584</v>
      </c>
      <c r="D46" s="32" t="s">
        <v>173</v>
      </c>
      <c r="E46" s="33">
        <v>4200</v>
      </c>
      <c r="F46" s="33">
        <f>SUMIFS('La Matriz'!$E$5:$E$12,'La Matriz'!$B$5:$B$12,D46)</f>
        <v>4200</v>
      </c>
      <c r="G46" s="33">
        <v>6</v>
      </c>
      <c r="H46" s="33">
        <f>COUNTIFS('La Matriz'!$B$16:$B$91,D46,'La Matriz'!$A$16:$A$91,"*F")</f>
        <v>6</v>
      </c>
      <c r="I46" s="33">
        <v>6</v>
      </c>
      <c r="J46" s="33">
        <f>COUNTIFS('La Matriz'!$B$16:$B$91,D46,'La Matriz'!$A$16:$A$91,"*M")</f>
        <v>6</v>
      </c>
      <c r="K46" s="33" t="s">
        <v>308</v>
      </c>
      <c r="L46" s="33" t="str">
        <f>IFERROR(IF(H46=0,"—",(1000-SUMPRODUCT(MAX(('La Matriz'!$B$16:$B$91=D46)*(RIGHT('La Matriz'!$A$16:$A$91,1)="F")*(1000-VALUE("0"&amp;SUBSTITUTE(SUBSTITUTE(UPPER('La Matriz'!$A$16:$A$91),"F",""),"M",""))))))&amp;"F – "&amp;SUMPRODUCT(MAX(('La Matriz'!$B$16:$B$91=D46)*(RIGHT('La Matriz'!$A$16:$A$91,1)="F")*VALUE("0"&amp;SUBSTITUTE(SUBSTITUTE(UPPER('La Matriz'!$A$16:$A$91),"F",""),"M",""))))&amp;"F"),"✖ error")</f>
        <v>1000F – 0F</v>
      </c>
      <c r="M46" s="33" t="s">
        <v>309</v>
      </c>
      <c r="N46" s="33" t="str">
        <f>IFERROR(IF(J46=0,"—",(1000-SUMPRODUCT(MAX(('La Matriz'!$B$16:$B$91=D46)*(RIGHT('La Matriz'!$A$16:$A$91,1)="M")*(1000-VALUE("0"&amp;SUBSTITUTE(SUBSTITUTE(UPPER('La Matriz'!$A$16:$A$91),"F",""),"M",""))))))&amp;"M – "&amp;SUMPRODUCT(MAX(('La Matriz'!$B$16:$B$91=D46)*(RIGHT('La Matriz'!$A$16:$A$91,1)="M")*VALUE("0"&amp;SUBSTITUTE(SUBSTITUTE(UPPER('La Matriz'!$A$16:$A$91),"F",""),"M",""))))&amp;"M"),"✖ error")</f>
        <v>13M – 13M</v>
      </c>
      <c r="O46" s="33">
        <v>12</v>
      </c>
      <c r="P46" s="33" t="str">
        <f>IFERROR(IF(AND(E46=F46,G46=H46,I46=J46,K46=L46,M46=N46,SUMPRODUCT(('La Matriz'!$B$16:$B$91=D46)*(RIGHT('La Matriz'!$A$16:$A$91,1)="F"))=6,SUMPRODUCT(('La Matriz'!$B$16:$B$91=D46)*(RIGHT('La Matriz'!$A$16:$A$91,1)="F")*VALUE("0"&amp;SUBSTITUTE(SUBSTITUTE(UPPER('La Matriz'!$A$16:$A$91),"F",""),"M","")))=93,SUMPRODUCT(('La Matriz'!$B$16:$B$91=D46)*(RIGHT('La Matriz'!$A$16:$A$91,1)="F")*VALUE("0"&amp;SUBSTITUTE(SUBSTITUTE(UPPER('La Matriz'!$A$16:$A$91),"F",""),"M",""))^2)=1459,SUMPRODUCT(('La Matriz'!$B$16:$B$91=D46)*(RIGHT('La Matriz'!$A$16:$A$91,1)="M"))=6,SUMPRODUCT(('La Matriz'!$B$16:$B$91=D46)*(RIGHT('La Matriz'!$A$16:$A$91,1)="M")*VALUE("0"&amp;SUBSTITUTE(SUBSTITUTE(UPPER('La Matriz'!$A$16:$A$91),"F",""),"M","")))=93,SUMPRODUCT(('La Matriz'!$B$16:$B$91=D46)*(RIGHT('La Matriz'!$A$16:$A$91,1)="M")*VALUE("0"&amp;SUBSTITUTE(SUBSTITUTE(UPPER('La Matriz'!$A$16:$A$91),"F",""),"M",""))^2)=1459),"✔ Verificado","✖ Revisar"),"✖ Revisar")</f>
        <v>✖ Revisar</v>
      </c>
    </row>
    <row r="47" spans="1:16" x14ac:dyDescent="0.2">
      <c r="A47" s="32" t="s">
        <v>10</v>
      </c>
      <c r="B47" s="33" t="s">
        <v>266</v>
      </c>
      <c r="C47" s="33">
        <v>1804</v>
      </c>
      <c r="D47" s="32" t="s">
        <v>175</v>
      </c>
      <c r="E47" s="33">
        <v>2800</v>
      </c>
      <c r="F47" s="33">
        <f>SUMIFS('La Matriz'!$E$5:$E$12,'La Matriz'!$B$5:$B$12,D47)</f>
        <v>2800</v>
      </c>
      <c r="G47" s="33">
        <v>4</v>
      </c>
      <c r="H47" s="33">
        <f>COUNTIFS('La Matriz'!$B$16:$B$91,D47,'La Matriz'!$A$16:$A$91,"*F")</f>
        <v>4</v>
      </c>
      <c r="I47" s="33">
        <v>4</v>
      </c>
      <c r="J47" s="33">
        <f>COUNTIFS('La Matriz'!$B$16:$B$91,D47,'La Matriz'!$A$16:$A$91,"*M")</f>
        <v>4</v>
      </c>
      <c r="K47" s="33" t="s">
        <v>310</v>
      </c>
      <c r="L47" s="33" t="str">
        <f>IFERROR(IF(H47=0,"—",(1000-SUMPRODUCT(MAX(('La Matriz'!$B$16:$B$91=D47)*(RIGHT('La Matriz'!$A$16:$A$91,1)="F")*(1000-VALUE("0"&amp;SUBSTITUTE(SUBSTITUTE(UPPER('La Matriz'!$A$16:$A$91),"F",""),"M",""))))))&amp;"F – "&amp;SUMPRODUCT(MAX(('La Matriz'!$B$16:$B$91=D47)*(RIGHT('La Matriz'!$A$16:$A$91,1)="F")*VALUE("0"&amp;SUBSTITUTE(SUBSTITUTE(UPPER('La Matriz'!$A$16:$A$91),"F",""),"M",""))))&amp;"F"),"✖ error")</f>
        <v>1000F – 0F</v>
      </c>
      <c r="M47" s="33" t="s">
        <v>311</v>
      </c>
      <c r="N47" s="33" t="str">
        <f>IFERROR(IF(J47=0,"—",(1000-SUMPRODUCT(MAX(('La Matriz'!$B$16:$B$91=D47)*(RIGHT('La Matriz'!$A$16:$A$91,1)="M")*(1000-VALUE("0"&amp;SUBSTITUTE(SUBSTITUTE(UPPER('La Matriz'!$A$16:$A$91),"F",""),"M",""))))))&amp;"M – "&amp;SUMPRODUCT(MAX(('La Matriz'!$B$16:$B$91=D47)*(RIGHT('La Matriz'!$A$16:$A$91,1)="M")*VALUE("0"&amp;SUBSTITUTE(SUBSTITUTE(UPPER('La Matriz'!$A$16:$A$91),"F",""),"M",""))))&amp;"M"),"✖ error")</f>
        <v>14M – 14M</v>
      </c>
      <c r="O47" s="33">
        <v>8</v>
      </c>
      <c r="P47" s="33" t="str">
        <f>IFERROR(IF(AND(E47=F47,G47=H47,I47=J47,K47=L47,M47=N47,SUMPRODUCT(('La Matriz'!$B$16:$B$91=D47)*(RIGHT('La Matriz'!$A$16:$A$91,1)="F"))=4,SUMPRODUCT(('La Matriz'!$B$16:$B$91=D47)*(RIGHT('La Matriz'!$A$16:$A$91,1)="F")*VALUE("0"&amp;SUBSTITUTE(SUBSTITUTE(UPPER('La Matriz'!$A$16:$A$91),"F",""),"M","")))=82,SUMPRODUCT(('La Matriz'!$B$16:$B$91=D47)*(RIGHT('La Matriz'!$A$16:$A$91,1)="F")*VALUE("0"&amp;SUBSTITUTE(SUBSTITUTE(UPPER('La Matriz'!$A$16:$A$91),"F",""),"M",""))^2)=1686,SUMPRODUCT(('La Matriz'!$B$16:$B$91=D47)*(RIGHT('La Matriz'!$A$16:$A$91,1)="M"))=4,SUMPRODUCT(('La Matriz'!$B$16:$B$91=D47)*(RIGHT('La Matriz'!$A$16:$A$91,1)="M")*VALUE("0"&amp;SUBSTITUTE(SUBSTITUTE(UPPER('La Matriz'!$A$16:$A$91),"F",""),"M","")))=82,SUMPRODUCT(('La Matriz'!$B$16:$B$91=D47)*(RIGHT('La Matriz'!$A$16:$A$91,1)="M")*VALUE("0"&amp;SUBSTITUTE(SUBSTITUTE(UPPER('La Matriz'!$A$16:$A$91),"F",""),"M",""))^2)=1686),"✔ Verificado","✖ Revisar"),"✖ Revisar")</f>
        <v>✖ Revisar</v>
      </c>
    </row>
    <row r="48" spans="1:16" x14ac:dyDescent="0.2">
      <c r="A48" s="32" t="s">
        <v>10</v>
      </c>
      <c r="B48" s="33" t="s">
        <v>266</v>
      </c>
      <c r="C48" s="33">
        <v>6324</v>
      </c>
      <c r="D48" s="32" t="s">
        <v>177</v>
      </c>
      <c r="E48" s="33">
        <v>2800</v>
      </c>
      <c r="F48" s="33">
        <f>SUMIFS('La Matriz'!$E$5:$E$12,'La Matriz'!$B$5:$B$12,D48)</f>
        <v>2800</v>
      </c>
      <c r="G48" s="33">
        <v>4</v>
      </c>
      <c r="H48" s="33">
        <f>COUNTIFS('La Matriz'!$B$16:$B$91,D48,'La Matriz'!$A$16:$A$91,"*F")</f>
        <v>4</v>
      </c>
      <c r="I48" s="33">
        <v>4</v>
      </c>
      <c r="J48" s="33">
        <f>COUNTIFS('La Matriz'!$B$16:$B$91,D48,'La Matriz'!$A$16:$A$91,"*M")</f>
        <v>4</v>
      </c>
      <c r="K48" s="33" t="s">
        <v>312</v>
      </c>
      <c r="L48" s="33" t="str">
        <f>IFERROR(IF(H48=0,"—",(1000-SUMPRODUCT(MAX(('La Matriz'!$B$16:$B$91=D48)*(RIGHT('La Matriz'!$A$16:$A$91,1)="F")*(1000-VALUE("0"&amp;SUBSTITUTE(SUBSTITUTE(UPPER('La Matriz'!$A$16:$A$91),"F",""),"M",""))))))&amp;"F – "&amp;SUMPRODUCT(MAX(('La Matriz'!$B$16:$B$91=D48)*(RIGHT('La Matriz'!$A$16:$A$91,1)="F")*VALUE("0"&amp;SUBSTITUTE(SUBSTITUTE(UPPER('La Matriz'!$A$16:$A$91),"F",""),"M",""))))&amp;"F"),"✖ error")</f>
        <v>1000F – 0F</v>
      </c>
      <c r="M48" s="33" t="s">
        <v>313</v>
      </c>
      <c r="N48" s="33" t="str">
        <f>IFERROR(IF(J48=0,"—",(1000-SUMPRODUCT(MAX(('La Matriz'!$B$16:$B$91=D48)*(RIGHT('La Matriz'!$A$16:$A$91,1)="M")*(1000-VALUE("0"&amp;SUBSTITUTE(SUBSTITUTE(UPPER('La Matriz'!$A$16:$A$91),"F",""),"M",""))))))&amp;"M – "&amp;SUMPRODUCT(MAX(('La Matriz'!$B$16:$B$91=D48)*(RIGHT('La Matriz'!$A$16:$A$91,1)="M")*VALUE("0"&amp;SUBSTITUTE(SUBSTITUTE(UPPER('La Matriz'!$A$16:$A$91),"F",""),"M",""))))&amp;"M"),"✖ error")</f>
        <v>15M – 15M</v>
      </c>
      <c r="O48" s="33">
        <v>8</v>
      </c>
      <c r="P48" s="33" t="str">
        <f>IFERROR(IF(AND(E48=F48,G48=H48,I48=J48,K48=L48,M48=N48,SUMPRODUCT(('La Matriz'!$B$16:$B$91=D48)*(RIGHT('La Matriz'!$A$16:$A$91,1)="F"))=4,SUMPRODUCT(('La Matriz'!$B$16:$B$91=D48)*(RIGHT('La Matriz'!$A$16:$A$91,1)="F")*VALUE("0"&amp;SUBSTITUTE(SUBSTITUTE(UPPER('La Matriz'!$A$16:$A$91),"F",""),"M","")))=98,SUMPRODUCT(('La Matriz'!$B$16:$B$91=D48)*(RIGHT('La Matriz'!$A$16:$A$91,1)="F")*VALUE("0"&amp;SUBSTITUTE(SUBSTITUTE(UPPER('La Matriz'!$A$16:$A$91),"F",""),"M",""))^2)=2406,SUMPRODUCT(('La Matriz'!$B$16:$B$91=D48)*(RIGHT('La Matriz'!$A$16:$A$91,1)="M"))=4,SUMPRODUCT(('La Matriz'!$B$16:$B$91=D48)*(RIGHT('La Matriz'!$A$16:$A$91,1)="M")*VALUE("0"&amp;SUBSTITUTE(SUBSTITUTE(UPPER('La Matriz'!$A$16:$A$91),"F",""),"M","")))=98,SUMPRODUCT(('La Matriz'!$B$16:$B$91=D48)*(RIGHT('La Matriz'!$A$16:$A$91,1)="M")*VALUE("0"&amp;SUBSTITUTE(SUBSTITUTE(UPPER('La Matriz'!$A$16:$A$91),"F",""),"M",""))^2)=2406),"✔ Verificado","✖ Revisar"),"✖ Revisar")</f>
        <v>✖ Revisar</v>
      </c>
    </row>
    <row r="49" spans="1:16" x14ac:dyDescent="0.2">
      <c r="A49" s="32" t="s">
        <v>10</v>
      </c>
      <c r="B49" s="33" t="s">
        <v>266</v>
      </c>
      <c r="C49" s="33">
        <v>1583</v>
      </c>
      <c r="D49" s="32" t="s">
        <v>179</v>
      </c>
      <c r="E49" s="33">
        <v>5600</v>
      </c>
      <c r="F49" s="33">
        <f>SUMIFS('La Matriz'!$E$5:$E$12,'La Matriz'!$B$5:$B$12,D49)</f>
        <v>5600</v>
      </c>
      <c r="G49" s="33">
        <v>8</v>
      </c>
      <c r="H49" s="33">
        <f>COUNTIFS('La Matriz'!$B$16:$B$91,D49,'La Matriz'!$A$16:$A$91,"*F")</f>
        <v>8</v>
      </c>
      <c r="I49" s="33">
        <v>8</v>
      </c>
      <c r="J49" s="33">
        <f>COUNTIFS('La Matriz'!$B$16:$B$91,D49,'La Matriz'!$A$16:$A$91,"*M")</f>
        <v>8</v>
      </c>
      <c r="K49" s="33" t="s">
        <v>314</v>
      </c>
      <c r="L49" s="33" t="str">
        <f>IFERROR(IF(H49=0,"—",(1000-SUMPRODUCT(MAX(('La Matriz'!$B$16:$B$91=D49)*(RIGHT('La Matriz'!$A$16:$A$91,1)="F")*(1000-VALUE("0"&amp;SUBSTITUTE(SUBSTITUTE(UPPER('La Matriz'!$A$16:$A$91),"F",""),"M",""))))))&amp;"F – "&amp;SUMPRODUCT(MAX(('La Matriz'!$B$16:$B$91=D49)*(RIGHT('La Matriz'!$A$16:$A$91,1)="F")*VALUE("0"&amp;SUBSTITUTE(SUBSTITUTE(UPPER('La Matriz'!$A$16:$A$91),"F",""),"M",""))))&amp;"F"),"✖ error")</f>
        <v>1000F – 0F</v>
      </c>
      <c r="M49" s="33" t="s">
        <v>315</v>
      </c>
      <c r="N49" s="33" t="str">
        <f>IFERROR(IF(J49=0,"—",(1000-SUMPRODUCT(MAX(('La Matriz'!$B$16:$B$91=D49)*(RIGHT('La Matriz'!$A$16:$A$91,1)="M")*(1000-VALUE("0"&amp;SUBSTITUTE(SUBSTITUTE(UPPER('La Matriz'!$A$16:$A$91),"F",""),"M",""))))))&amp;"M – "&amp;SUMPRODUCT(MAX(('La Matriz'!$B$16:$B$91=D49)*(RIGHT('La Matriz'!$A$16:$A$91,1)="M")*VALUE("0"&amp;SUBSTITUTE(SUBSTITUTE(UPPER('La Matriz'!$A$16:$A$91),"F",""),"M",""))))&amp;"M"),"✖ error")</f>
        <v>16M – 16M</v>
      </c>
      <c r="O49" s="33">
        <v>16</v>
      </c>
      <c r="P49" s="33" t="str">
        <f>IFERROR(IF(AND(E49=F49,G49=H49,I49=J49,K49=L49,M49=N49,SUMPRODUCT(('La Matriz'!$B$16:$B$91=D49)*(RIGHT('La Matriz'!$A$16:$A$91,1)="F"))=8,SUMPRODUCT(('La Matriz'!$B$16:$B$91=D49)*(RIGHT('La Matriz'!$A$16:$A$91,1)="F")*VALUE("0"&amp;SUBSTITUTE(SUBSTITUTE(UPPER('La Matriz'!$A$16:$A$91),"F",""),"M","")))=244,SUMPRODUCT(('La Matriz'!$B$16:$B$91=D49)*(RIGHT('La Matriz'!$A$16:$A$91,1)="F")*VALUE("0"&amp;SUBSTITUTE(SUBSTITUTE(UPPER('La Matriz'!$A$16:$A$91),"F",""),"M",""))^2)=7484,SUMPRODUCT(('La Matriz'!$B$16:$B$91=D49)*(RIGHT('La Matriz'!$A$16:$A$91,1)="M"))=8,SUMPRODUCT(('La Matriz'!$B$16:$B$91=D49)*(RIGHT('La Matriz'!$A$16:$A$91,1)="M")*VALUE("0"&amp;SUBSTITUTE(SUBSTITUTE(UPPER('La Matriz'!$A$16:$A$91),"F",""),"M","")))=244,SUMPRODUCT(('La Matriz'!$B$16:$B$91=D49)*(RIGHT('La Matriz'!$A$16:$A$91,1)="M")*VALUE("0"&amp;SUBSTITUTE(SUBSTITUTE(UPPER('La Matriz'!$A$16:$A$91),"F",""),"M",""))^2)=7484),"✔ Verificado","✖ Revisar"),"✖ Revisar")</f>
        <v>✖ Revisar</v>
      </c>
    </row>
    <row r="50" spans="1:16" x14ac:dyDescent="0.2">
      <c r="A50" s="32" t="s">
        <v>10</v>
      </c>
      <c r="B50" s="33" t="s">
        <v>266</v>
      </c>
      <c r="C50" s="33">
        <v>6334</v>
      </c>
      <c r="D50" s="32" t="s">
        <v>181</v>
      </c>
      <c r="E50" s="33">
        <v>2811</v>
      </c>
      <c r="F50" s="33">
        <f>SUMIFS('La Matriz'!$E$5:$E$12,'La Matriz'!$B$5:$B$12,D50)</f>
        <v>2811</v>
      </c>
      <c r="G50" s="33">
        <v>6</v>
      </c>
      <c r="H50" s="33">
        <f>COUNTIFS('La Matriz'!$B$16:$B$91,D50,'La Matriz'!$A$16:$A$91,"*F")</f>
        <v>6</v>
      </c>
      <c r="I50" s="33">
        <v>2</v>
      </c>
      <c r="J50" s="33">
        <f>COUNTIFS('La Matriz'!$B$16:$B$91,D50,'La Matriz'!$A$16:$A$91,"*M")</f>
        <v>2</v>
      </c>
      <c r="K50" s="33" t="s">
        <v>316</v>
      </c>
      <c r="L50" s="33" t="str">
        <f>IFERROR(IF(H50=0,"—",(1000-SUMPRODUCT(MAX(('La Matriz'!$B$16:$B$91=D50)*(RIGHT('La Matriz'!$A$16:$A$91,1)="F")*(1000-VALUE("0"&amp;SUBSTITUTE(SUBSTITUTE(UPPER('La Matriz'!$A$16:$A$91),"F",""),"M",""))))))&amp;"F – "&amp;SUMPRODUCT(MAX(('La Matriz'!$B$16:$B$91=D50)*(RIGHT('La Matriz'!$A$16:$A$91,1)="F")*VALUE("0"&amp;SUBSTITUTE(SUBSTITUTE(UPPER('La Matriz'!$A$16:$A$91),"F",""),"M",""))))&amp;"F"),"✖ error")</f>
        <v>1000F – 0F</v>
      </c>
      <c r="M50" s="33" t="s">
        <v>317</v>
      </c>
      <c r="N50" s="33" t="str">
        <f>IFERROR(IF(J50=0,"—",(1000-SUMPRODUCT(MAX(('La Matriz'!$B$16:$B$91=D50)*(RIGHT('La Matriz'!$A$16:$A$91,1)="M")*(1000-VALUE("0"&amp;SUBSTITUTE(SUBSTITUTE(UPPER('La Matriz'!$A$16:$A$91),"F",""),"M",""))))))&amp;"M – "&amp;SUMPRODUCT(MAX(('La Matriz'!$B$16:$B$91=D50)*(RIGHT('La Matriz'!$A$16:$A$91,1)="M")*VALUE("0"&amp;SUBSTITUTE(SUBSTITUTE(UPPER('La Matriz'!$A$16:$A$91),"F",""),"M",""))))&amp;"M"),"✖ error")</f>
        <v>17M – 17M</v>
      </c>
      <c r="O50" s="33">
        <v>8</v>
      </c>
      <c r="P50" s="33" t="str">
        <f>IFERROR(IF(AND(E50=F50,G50=H50,I50=J50,K50=L50,M50=N50,SUMPRODUCT(('La Matriz'!$B$16:$B$91=D50)*(RIGHT('La Matriz'!$A$16:$A$91,1)="F"))=6,SUMPRODUCT(('La Matriz'!$B$16:$B$91=D50)*(RIGHT('La Matriz'!$A$16:$A$91,1)="F")*VALUE("0"&amp;SUBSTITUTE(SUBSTITUTE(UPPER('La Matriz'!$A$16:$A$91),"F",""),"M","")))=225,SUMPRODUCT(('La Matriz'!$B$16:$B$91=D50)*(RIGHT('La Matriz'!$A$16:$A$91,1)="F")*VALUE("0"&amp;SUBSTITUTE(SUBSTITUTE(UPPER('La Matriz'!$A$16:$A$91),"F",""),"M",""))^2)=8455,SUMPRODUCT(('La Matriz'!$B$16:$B$91=D50)*(RIGHT('La Matriz'!$A$16:$A$91,1)="M"))=2,SUMPRODUCT(('La Matriz'!$B$16:$B$91=D50)*(RIGHT('La Matriz'!$A$16:$A$91,1)="M")*VALUE("0"&amp;SUBSTITUTE(SUBSTITUTE(UPPER('La Matriz'!$A$16:$A$91),"F",""),"M","")))=71,SUMPRODUCT(('La Matriz'!$B$16:$B$91=D50)*(RIGHT('La Matriz'!$A$16:$A$91,1)="M")*VALUE("0"&amp;SUBSTITUTE(SUBSTITUTE(UPPER('La Matriz'!$A$16:$A$91),"F",""),"M",""))^2)=2521),"✔ Verificado","✖ Revisar"),"✖ Revisar")</f>
        <v>✖ Revisar</v>
      </c>
    </row>
    <row r="51" spans="1:16" x14ac:dyDescent="0.2">
      <c r="A51" s="32" t="s">
        <v>11</v>
      </c>
      <c r="B51" s="33" t="s">
        <v>266</v>
      </c>
      <c r="C51" s="33">
        <v>1774</v>
      </c>
      <c r="D51" s="32" t="s">
        <v>184</v>
      </c>
      <c r="E51" s="33">
        <v>2450</v>
      </c>
      <c r="F51" s="33">
        <f>SUMIFS('San Buenaventura'!$E$5:$E$6,'San Buenaventura'!$B$5:$B$6,D51)</f>
        <v>2450</v>
      </c>
      <c r="G51" s="33">
        <v>4</v>
      </c>
      <c r="H51" s="33">
        <f>COUNTIFS('San Buenaventura'!$B$10:$B$26,D51,'San Buenaventura'!$A$10:$A$26,"*F")</f>
        <v>4</v>
      </c>
      <c r="I51" s="33">
        <v>3</v>
      </c>
      <c r="J51" s="33">
        <f>COUNTIFS('San Buenaventura'!$B$10:$B$26,D51,'San Buenaventura'!$A$10:$A$26,"*M")</f>
        <v>3</v>
      </c>
      <c r="K51" s="33" t="s">
        <v>303</v>
      </c>
      <c r="L51" s="33" t="str">
        <f>IFERROR(IF(H51=0,"—",(1000-SUMPRODUCT(MAX(('San Buenaventura'!$B$10:$B$26=D51)*(RIGHT('San Buenaventura'!$A$10:$A$26,1)="F")*(1000-VALUE("0"&amp;SUBSTITUTE(SUBSTITUTE(UPPER('San Buenaventura'!$A$10:$A$26),"F",""),"M",""))))))&amp;"F – "&amp;SUMPRODUCT(MAX(('San Buenaventura'!$B$10:$B$26=D51)*(RIGHT('San Buenaventura'!$A$10:$A$26,1)="F")*VALUE("0"&amp;SUBSTITUTE(SUBSTITUTE(UPPER('San Buenaventura'!$A$10:$A$26),"F",""),"M",""))))&amp;"F"),"✖ error")</f>
        <v>✖ error</v>
      </c>
      <c r="M51" s="33" t="s">
        <v>318</v>
      </c>
      <c r="N51" s="33" t="str">
        <f>IFERROR(IF(J51=0,"—",(1000-SUMPRODUCT(MAX(('San Buenaventura'!$B$10:$B$26=D51)*(RIGHT('San Buenaventura'!$A$10:$A$26,1)="M")*(1000-VALUE("0"&amp;SUBSTITUTE(SUBSTITUTE(UPPER('San Buenaventura'!$A$10:$A$26),"F",""),"M",""))))))&amp;"M – "&amp;SUMPRODUCT(MAX(('San Buenaventura'!$B$10:$B$26=D51)*(RIGHT('San Buenaventura'!$A$10:$A$26,1)="M")*VALUE("0"&amp;SUBSTITUTE(SUBSTITUTE(UPPER('San Buenaventura'!$A$10:$A$26),"F",""),"M",""))))&amp;"M"),"✖ error")</f>
        <v>✖ error</v>
      </c>
      <c r="O51" s="33">
        <v>7</v>
      </c>
      <c r="P51" s="33" t="str">
        <f>IFERROR(IF(AND(E51=F51,G51=H51,I51=J51,K51=L51,M51=N51,SUMPRODUCT(('San Buenaventura'!$B$10:$B$26=D51)*(RIGHT('San Buenaventura'!$A$10:$A$26,1)="F"))=4,SUMPRODUCT(('San Buenaventura'!$B$10:$B$26=D51)*(RIGHT('San Buenaventura'!$A$10:$A$26,1)="F")*VALUE("0"&amp;SUBSTITUTE(SUBSTITUTE(UPPER('San Buenaventura'!$A$10:$A$26),"F",""),"M","")))=10,SUMPRODUCT(('San Buenaventura'!$B$10:$B$26=D51)*(RIGHT('San Buenaventura'!$A$10:$A$26,1)="F")*VALUE("0"&amp;SUBSTITUTE(SUBSTITUTE(UPPER('San Buenaventura'!$A$10:$A$26),"F",""),"M",""))^2)=30,SUMPRODUCT(('San Buenaventura'!$B$10:$B$26=D51)*(RIGHT('San Buenaventura'!$A$10:$A$26,1)="M"))=3,SUMPRODUCT(('San Buenaventura'!$B$10:$B$26=D51)*(RIGHT('San Buenaventura'!$A$10:$A$26,1)="M")*VALUE("0"&amp;SUBSTITUTE(SUBSTITUTE(UPPER('San Buenaventura'!$A$10:$A$26),"F",""),"M","")))=6,SUMPRODUCT(('San Buenaventura'!$B$10:$B$26=D51)*(RIGHT('San Buenaventura'!$A$10:$A$26,1)="M")*VALUE("0"&amp;SUBSTITUTE(SUBSTITUTE(UPPER('San Buenaventura'!$A$10:$A$26),"F",""),"M",""))^2)=14),"✔ Verificado","✖ Revisar"),"✖ Revisar")</f>
        <v>✖ Revisar</v>
      </c>
    </row>
    <row r="52" spans="1:16" x14ac:dyDescent="0.2">
      <c r="A52" s="32" t="s">
        <v>11</v>
      </c>
      <c r="B52" s="33" t="s">
        <v>266</v>
      </c>
      <c r="C52" s="33">
        <v>7995</v>
      </c>
      <c r="D52" s="32" t="s">
        <v>186</v>
      </c>
      <c r="E52" s="33">
        <v>3393</v>
      </c>
      <c r="F52" s="33">
        <f>SUMIFS('San Buenaventura'!$E$5:$E$6,'San Buenaventura'!$B$5:$B$6,D52)</f>
        <v>3393</v>
      </c>
      <c r="G52" s="33">
        <v>5</v>
      </c>
      <c r="H52" s="33">
        <f>COUNTIFS('San Buenaventura'!$B$10:$B$26,D52,'San Buenaventura'!$A$10:$A$26,"*F")</f>
        <v>5</v>
      </c>
      <c r="I52" s="33">
        <v>5</v>
      </c>
      <c r="J52" s="33">
        <f>COUNTIFS('San Buenaventura'!$B$10:$B$26,D52,'San Buenaventura'!$A$10:$A$26,"*M")</f>
        <v>5</v>
      </c>
      <c r="K52" s="33" t="s">
        <v>319</v>
      </c>
      <c r="L52" s="33" t="str">
        <f>IFERROR(IF(H52=0,"—",(1000-SUMPRODUCT(MAX(('San Buenaventura'!$B$10:$B$26=D52)*(RIGHT('San Buenaventura'!$A$10:$A$26,1)="F")*(1000-VALUE("0"&amp;SUBSTITUTE(SUBSTITUTE(UPPER('San Buenaventura'!$A$10:$A$26),"F",""),"M",""))))))&amp;"F – "&amp;SUMPRODUCT(MAX(('San Buenaventura'!$B$10:$B$26=D52)*(RIGHT('San Buenaventura'!$A$10:$A$26,1)="F")*VALUE("0"&amp;SUBSTITUTE(SUBSTITUTE(UPPER('San Buenaventura'!$A$10:$A$26),"F",""),"M",""))))&amp;"F"),"✖ error")</f>
        <v>✖ error</v>
      </c>
      <c r="M52" s="33" t="s">
        <v>320</v>
      </c>
      <c r="N52" s="33" t="str">
        <f>IFERROR(IF(J52=0,"—",(1000-SUMPRODUCT(MAX(('San Buenaventura'!$B$10:$B$26=D52)*(RIGHT('San Buenaventura'!$A$10:$A$26,1)="M")*(1000-VALUE("0"&amp;SUBSTITUTE(SUBSTITUTE(UPPER('San Buenaventura'!$A$10:$A$26),"F",""),"M",""))))))&amp;"M – "&amp;SUMPRODUCT(MAX(('San Buenaventura'!$B$10:$B$26=D52)*(RIGHT('San Buenaventura'!$A$10:$A$26,1)="M")*VALUE("0"&amp;SUBSTITUTE(SUBSTITUTE(UPPER('San Buenaventura'!$A$10:$A$26),"F",""),"M",""))))&amp;"M"),"✖ error")</f>
        <v>✖ error</v>
      </c>
      <c r="O52" s="33">
        <v>10</v>
      </c>
      <c r="P52" s="33" t="str">
        <f>IFERROR(IF(AND(E52=F52,G52=H52,I52=J52,K52=L52,M52=N52,SUMPRODUCT(('San Buenaventura'!$B$10:$B$26=D52)*(RIGHT('San Buenaventura'!$A$10:$A$26,1)="F"))=5,SUMPRODUCT(('San Buenaventura'!$B$10:$B$26=D52)*(RIGHT('San Buenaventura'!$A$10:$A$26,1)="F")*VALUE("0"&amp;SUBSTITUTE(SUBSTITUTE(UPPER('San Buenaventura'!$A$10:$A$26),"F",""),"M","")))=35,SUMPRODUCT(('San Buenaventura'!$B$10:$B$26=D52)*(RIGHT('San Buenaventura'!$A$10:$A$26,1)="F")*VALUE("0"&amp;SUBSTITUTE(SUBSTITUTE(UPPER('San Buenaventura'!$A$10:$A$26),"F",""),"M",""))^2)=255,SUMPRODUCT(('San Buenaventura'!$B$10:$B$26=D52)*(RIGHT('San Buenaventura'!$A$10:$A$26,1)="M"))=5,SUMPRODUCT(('San Buenaventura'!$B$10:$B$26=D52)*(RIGHT('San Buenaventura'!$A$10:$A$26,1)="M")*VALUE("0"&amp;SUBSTITUTE(SUBSTITUTE(UPPER('San Buenaventura'!$A$10:$A$26),"F",""),"M","")))=30,SUMPRODUCT(('San Buenaventura'!$B$10:$B$26=D52)*(RIGHT('San Buenaventura'!$A$10:$A$26,1)="M")*VALUE("0"&amp;SUBSTITUTE(SUBSTITUTE(UPPER('San Buenaventura'!$A$10:$A$26),"F",""),"M",""))^2)=190),"✔ Verificado","✖ Revisar"),"✖ Revisar")</f>
        <v>✖ Revisar</v>
      </c>
    </row>
    <row r="53" spans="1:16" x14ac:dyDescent="0.2">
      <c r="A53" s="32" t="s">
        <v>12</v>
      </c>
      <c r="B53" s="33" t="s">
        <v>266</v>
      </c>
      <c r="C53" s="33">
        <v>1730</v>
      </c>
      <c r="D53" s="32" t="s">
        <v>189</v>
      </c>
      <c r="E53" s="33">
        <v>3500</v>
      </c>
      <c r="F53" s="33">
        <f>SUMIFS(Aláquez!$E$5:$E$6,Aláquez!$B$5:$B$6,D53)</f>
        <v>3500</v>
      </c>
      <c r="G53" s="33">
        <v>5</v>
      </c>
      <c r="H53" s="33">
        <f>COUNTIFS(Aláquez!$B$10:$B$28,D53,Aláquez!$A$10:$A$28,"*F")</f>
        <v>5</v>
      </c>
      <c r="I53" s="33">
        <v>5</v>
      </c>
      <c r="J53" s="33">
        <f>COUNTIFS(Aláquez!$B$10:$B$28,D53,Aláquez!$A$10:$A$28,"*M")</f>
        <v>5</v>
      </c>
      <c r="K53" s="33" t="s">
        <v>321</v>
      </c>
      <c r="L53" s="33" t="str">
        <f>IFERROR(IF(H53=0,"—",(1000-SUMPRODUCT(MAX((Aláquez!$B$10:$B$28=D53)*(RIGHT(Aláquez!$A$10:$A$28,1)="F")*(1000-VALUE("0"&amp;SUBSTITUTE(SUBSTITUTE(UPPER(Aláquez!$A$10:$A$28),"F",""),"M",""))))))&amp;"F – "&amp;SUMPRODUCT(MAX((Aláquez!$B$10:$B$28=D53)*(RIGHT(Aláquez!$A$10:$A$28,1)="F")*VALUE("0"&amp;SUBSTITUTE(SUBSTITUTE(UPPER(Aláquez!$A$10:$A$28),"F",""),"M",""))))&amp;"F"),"✖ error")</f>
        <v>✖ error</v>
      </c>
      <c r="M53" s="33" t="s">
        <v>268</v>
      </c>
      <c r="N53" s="33" t="str">
        <f>IFERROR(IF(J53=0,"—",(1000-SUMPRODUCT(MAX((Aláquez!$B$10:$B$28=D53)*(RIGHT(Aláquez!$A$10:$A$28,1)="M")*(1000-VALUE("0"&amp;SUBSTITUTE(SUBSTITUTE(UPPER(Aláquez!$A$10:$A$28),"F",""),"M",""))))))&amp;"M – "&amp;SUMPRODUCT(MAX((Aláquez!$B$10:$B$28=D53)*(RIGHT(Aláquez!$A$10:$A$28,1)="M")*VALUE("0"&amp;SUBSTITUTE(SUBSTITUTE(UPPER(Aláquez!$A$10:$A$28),"F",""),"M",""))))&amp;"M"),"✖ error")</f>
        <v>✖ error</v>
      </c>
      <c r="O53" s="33">
        <v>10</v>
      </c>
      <c r="P53" s="33" t="str">
        <f>IFERROR(IF(AND(E53=F53,G53=H53,I53=J53,K53=L53,M53=N53,SUMPRODUCT((Aláquez!$B$10:$B$28=D53)*(RIGHT(Aláquez!$A$10:$A$28,1)="F"))=5,SUMPRODUCT((Aláquez!$B$10:$B$28=D53)*(RIGHT(Aláquez!$A$10:$A$28,1)="F")*VALUE("0"&amp;SUBSTITUTE(SUBSTITUTE(UPPER(Aláquez!$A$10:$A$28),"F",""),"M","")))=15,SUMPRODUCT((Aláquez!$B$10:$B$28=D53)*(RIGHT(Aláquez!$A$10:$A$28,1)="F")*VALUE("0"&amp;SUBSTITUTE(SUBSTITUTE(UPPER(Aláquez!$A$10:$A$28),"F",""),"M",""))^2)=55,SUMPRODUCT((Aláquez!$B$10:$B$28=D53)*(RIGHT(Aláquez!$A$10:$A$28,1)="M"))=5,SUMPRODUCT((Aláquez!$B$10:$B$28=D53)*(RIGHT(Aláquez!$A$10:$A$28,1)="M")*VALUE("0"&amp;SUBSTITUTE(SUBSTITUTE(UPPER(Aláquez!$A$10:$A$28),"F",""),"M","")))=15,SUMPRODUCT((Aláquez!$B$10:$B$28=D53)*(RIGHT(Aláquez!$A$10:$A$28,1)="M")*VALUE("0"&amp;SUBSTITUTE(SUBSTITUTE(UPPER(Aláquez!$A$10:$A$28),"F",""),"M",""))^2)=55),"✔ Verificado","✖ Revisar"),"✖ Revisar")</f>
        <v>✖ Revisar</v>
      </c>
    </row>
    <row r="54" spans="1:16" x14ac:dyDescent="0.2">
      <c r="A54" s="32" t="s">
        <v>12</v>
      </c>
      <c r="B54" s="33" t="s">
        <v>266</v>
      </c>
      <c r="C54" s="33">
        <v>6252</v>
      </c>
      <c r="D54" s="32" t="s">
        <v>191</v>
      </c>
      <c r="E54" s="33">
        <v>2968</v>
      </c>
      <c r="F54" s="33">
        <f>SUMIFS(Aláquez!$E$5:$E$6,Aláquez!$B$5:$B$6,D54)</f>
        <v>2968</v>
      </c>
      <c r="G54" s="33">
        <v>5</v>
      </c>
      <c r="H54" s="33">
        <f>COUNTIFS(Aláquez!$B$10:$B$28,D54,Aláquez!$A$10:$A$28,"*F")</f>
        <v>5</v>
      </c>
      <c r="I54" s="33">
        <v>4</v>
      </c>
      <c r="J54" s="33">
        <f>COUNTIFS(Aláquez!$B$10:$B$28,D54,Aláquez!$A$10:$A$28,"*M")</f>
        <v>4</v>
      </c>
      <c r="K54" s="33" t="s">
        <v>322</v>
      </c>
      <c r="L54" s="33" t="str">
        <f>IFERROR(IF(H54=0,"—",(1000-SUMPRODUCT(MAX((Aláquez!$B$10:$B$28=D54)*(RIGHT(Aláquez!$A$10:$A$28,1)="F")*(1000-VALUE("0"&amp;SUBSTITUTE(SUBSTITUTE(UPPER(Aláquez!$A$10:$A$28),"F",""),"M",""))))))&amp;"F – "&amp;SUMPRODUCT(MAX((Aláquez!$B$10:$B$28=D54)*(RIGHT(Aláquez!$A$10:$A$28,1)="F")*VALUE("0"&amp;SUBSTITUTE(SUBSTITUTE(UPPER(Aláquez!$A$10:$A$28),"F",""),"M",""))))&amp;"F"),"✖ error")</f>
        <v>✖ error</v>
      </c>
      <c r="M54" s="33" t="s">
        <v>323</v>
      </c>
      <c r="N54" s="33" t="str">
        <f>IFERROR(IF(J54=0,"—",(1000-SUMPRODUCT(MAX((Aláquez!$B$10:$B$28=D54)*(RIGHT(Aláquez!$A$10:$A$28,1)="M")*(1000-VALUE("0"&amp;SUBSTITUTE(SUBSTITUTE(UPPER(Aláquez!$A$10:$A$28),"F",""),"M",""))))))&amp;"M – "&amp;SUMPRODUCT(MAX((Aláquez!$B$10:$B$28=D54)*(RIGHT(Aláquez!$A$10:$A$28,1)="M")*VALUE("0"&amp;SUBSTITUTE(SUBSTITUTE(UPPER(Aláquez!$A$10:$A$28),"F",""),"M",""))))&amp;"M"),"✖ error")</f>
        <v>✖ error</v>
      </c>
      <c r="O54" s="33">
        <v>9</v>
      </c>
      <c r="P54" s="33" t="str">
        <f>IFERROR(IF(AND(E54=F54,G54=H54,I54=J54,K54=L54,M54=N54,SUMPRODUCT((Aláquez!$B$10:$B$28=D54)*(RIGHT(Aláquez!$A$10:$A$28,1)="F"))=5,SUMPRODUCT((Aláquez!$B$10:$B$28=D54)*(RIGHT(Aláquez!$A$10:$A$28,1)="F")*VALUE("0"&amp;SUBSTITUTE(SUBSTITUTE(UPPER(Aláquez!$A$10:$A$28),"F",""),"M","")))=40,SUMPRODUCT((Aláquez!$B$10:$B$28=D54)*(RIGHT(Aláquez!$A$10:$A$28,1)="F")*VALUE("0"&amp;SUBSTITUTE(SUBSTITUTE(UPPER(Aláquez!$A$10:$A$28),"F",""),"M",""))^2)=330,SUMPRODUCT((Aláquez!$B$10:$B$28=D54)*(RIGHT(Aláquez!$A$10:$A$28,1)="M"))=4,SUMPRODUCT((Aláquez!$B$10:$B$28=D54)*(RIGHT(Aláquez!$A$10:$A$28,1)="M")*VALUE("0"&amp;SUBSTITUTE(SUBSTITUTE(UPPER(Aláquez!$A$10:$A$28),"F",""),"M","")))=30,SUMPRODUCT((Aláquez!$B$10:$B$28=D54)*(RIGHT(Aláquez!$A$10:$A$28,1)="M")*VALUE("0"&amp;SUBSTITUTE(SUBSTITUTE(UPPER(Aláquez!$A$10:$A$28),"F",""),"M",""))^2)=230),"✔ Verificado","✖ Revisar"),"✖ Revisar")</f>
        <v>✖ Revisar</v>
      </c>
    </row>
    <row r="55" spans="1:16" x14ac:dyDescent="0.2">
      <c r="A55" s="32" t="s">
        <v>14</v>
      </c>
      <c r="B55" s="33" t="s">
        <v>266</v>
      </c>
      <c r="C55" s="33">
        <v>1558</v>
      </c>
      <c r="D55" s="32" t="s">
        <v>194</v>
      </c>
      <c r="E55" s="33">
        <v>2800</v>
      </c>
      <c r="F55" s="33">
        <f>SUMIFS('Belisario Quevedo'!$E$5:$E$6,'Belisario Quevedo'!$B$5:$B$6,D55)</f>
        <v>2800</v>
      </c>
      <c r="G55" s="33">
        <v>4</v>
      </c>
      <c r="H55" s="33">
        <f>COUNTIFS('Belisario Quevedo'!$B$10:$B$24,D55,'Belisario Quevedo'!$A$10:$A$24,"*F")</f>
        <v>4</v>
      </c>
      <c r="I55" s="33">
        <v>4</v>
      </c>
      <c r="J55" s="33">
        <f>COUNTIFS('Belisario Quevedo'!$B$10:$B$24,D55,'Belisario Quevedo'!$A$10:$A$24,"*M")</f>
        <v>4</v>
      </c>
      <c r="K55" s="33" t="s">
        <v>303</v>
      </c>
      <c r="L55" s="33" t="str">
        <f>IFERROR(IF(H55=0,"—",(1000-SUMPRODUCT(MAX(('Belisario Quevedo'!$B$10:$B$24=D55)*(RIGHT('Belisario Quevedo'!$A$10:$A$24,1)="F")*(1000-VALUE("0"&amp;SUBSTITUTE(SUBSTITUTE(UPPER('Belisario Quevedo'!$A$10:$A$24),"F",""),"M",""))))))&amp;"F – "&amp;SUMPRODUCT(MAX(('Belisario Quevedo'!$B$10:$B$24=D55)*(RIGHT('Belisario Quevedo'!$A$10:$A$24,1)="F")*VALUE("0"&amp;SUBSTITUTE(SUBSTITUTE(UPPER('Belisario Quevedo'!$A$10:$A$24),"F",""),"M",""))))&amp;"F"),"✖ error")</f>
        <v>✖ error</v>
      </c>
      <c r="M55" s="33" t="s">
        <v>304</v>
      </c>
      <c r="N55" s="33" t="str">
        <f>IFERROR(IF(J55=0,"—",(1000-SUMPRODUCT(MAX(('Belisario Quevedo'!$B$10:$B$24=D55)*(RIGHT('Belisario Quevedo'!$A$10:$A$24,1)="M")*(1000-VALUE("0"&amp;SUBSTITUTE(SUBSTITUTE(UPPER('Belisario Quevedo'!$A$10:$A$24),"F",""),"M",""))))))&amp;"M – "&amp;SUMPRODUCT(MAX(('Belisario Quevedo'!$B$10:$B$24=D55)*(RIGHT('Belisario Quevedo'!$A$10:$A$24,1)="M")*VALUE("0"&amp;SUBSTITUTE(SUBSTITUTE(UPPER('Belisario Quevedo'!$A$10:$A$24),"F",""),"M",""))))&amp;"M"),"✖ error")</f>
        <v>✖ error</v>
      </c>
      <c r="O55" s="33">
        <v>8</v>
      </c>
      <c r="P55" s="33" t="str">
        <f>IFERROR(IF(AND(E55=F55,G55=H55,I55=J55,K55=L55,M55=N55,SUMPRODUCT(('Belisario Quevedo'!$B$10:$B$24=D55)*(RIGHT('Belisario Quevedo'!$A$10:$A$24,1)="F"))=4,SUMPRODUCT(('Belisario Quevedo'!$B$10:$B$24=D55)*(RIGHT('Belisario Quevedo'!$A$10:$A$24,1)="F")*VALUE("0"&amp;SUBSTITUTE(SUBSTITUTE(UPPER('Belisario Quevedo'!$A$10:$A$24),"F",""),"M","")))=10,SUMPRODUCT(('Belisario Quevedo'!$B$10:$B$24=D55)*(RIGHT('Belisario Quevedo'!$A$10:$A$24,1)="F")*VALUE("0"&amp;SUBSTITUTE(SUBSTITUTE(UPPER('Belisario Quevedo'!$A$10:$A$24),"F",""),"M",""))^2)=30,SUMPRODUCT(('Belisario Quevedo'!$B$10:$B$24=D55)*(RIGHT('Belisario Quevedo'!$A$10:$A$24,1)="M"))=4,SUMPRODUCT(('Belisario Quevedo'!$B$10:$B$24=D55)*(RIGHT('Belisario Quevedo'!$A$10:$A$24,1)="M")*VALUE("0"&amp;SUBSTITUTE(SUBSTITUTE(UPPER('Belisario Quevedo'!$A$10:$A$24),"F",""),"M","")))=10,SUMPRODUCT(('Belisario Quevedo'!$B$10:$B$24=D55)*(RIGHT('Belisario Quevedo'!$A$10:$A$24,1)="M")*VALUE("0"&amp;SUBSTITUTE(SUBSTITUTE(UPPER('Belisario Quevedo'!$A$10:$A$24),"F",""),"M",""))^2)=30),"✔ Verificado","✖ Revisar"),"✖ Revisar")</f>
        <v>✖ Revisar</v>
      </c>
    </row>
    <row r="56" spans="1:16" x14ac:dyDescent="0.2">
      <c r="A56" s="32" t="s">
        <v>14</v>
      </c>
      <c r="B56" s="33" t="s">
        <v>266</v>
      </c>
      <c r="C56" s="33">
        <v>6257</v>
      </c>
      <c r="D56" s="32" t="s">
        <v>196</v>
      </c>
      <c r="E56" s="33">
        <v>2193</v>
      </c>
      <c r="F56" s="33">
        <f>SUMIFS('Belisario Quevedo'!$E$5:$E$6,'Belisario Quevedo'!$B$5:$B$6,D56)</f>
        <v>2193</v>
      </c>
      <c r="G56" s="33">
        <v>4</v>
      </c>
      <c r="H56" s="33">
        <f>COUNTIFS('Belisario Quevedo'!$B$10:$B$24,D56,'Belisario Quevedo'!$A$10:$A$24,"*F")</f>
        <v>4</v>
      </c>
      <c r="I56" s="33">
        <v>3</v>
      </c>
      <c r="J56" s="33">
        <f>COUNTIFS('Belisario Quevedo'!$B$10:$B$24,D56,'Belisario Quevedo'!$A$10:$A$24,"*M")</f>
        <v>3</v>
      </c>
      <c r="K56" s="33" t="s">
        <v>305</v>
      </c>
      <c r="L56" s="33" t="str">
        <f>IFERROR(IF(H56=0,"—",(1000-SUMPRODUCT(MAX(('Belisario Quevedo'!$B$10:$B$24=D56)*(RIGHT('Belisario Quevedo'!$A$10:$A$24,1)="F")*(1000-VALUE("0"&amp;SUBSTITUTE(SUBSTITUTE(UPPER('Belisario Quevedo'!$A$10:$A$24),"F",""),"M",""))))))&amp;"F – "&amp;SUMPRODUCT(MAX(('Belisario Quevedo'!$B$10:$B$24=D56)*(RIGHT('Belisario Quevedo'!$A$10:$A$24,1)="F")*VALUE("0"&amp;SUBSTITUTE(SUBSTITUTE(UPPER('Belisario Quevedo'!$A$10:$A$24),"F",""),"M",""))))&amp;"F"),"✖ error")</f>
        <v>✖ error</v>
      </c>
      <c r="M56" s="33" t="s">
        <v>324</v>
      </c>
      <c r="N56" s="33" t="str">
        <f>IFERROR(IF(J56=0,"—",(1000-SUMPRODUCT(MAX(('Belisario Quevedo'!$B$10:$B$24=D56)*(RIGHT('Belisario Quevedo'!$A$10:$A$24,1)="M")*(1000-VALUE("0"&amp;SUBSTITUTE(SUBSTITUTE(UPPER('Belisario Quevedo'!$A$10:$A$24),"F",""),"M",""))))))&amp;"M – "&amp;SUMPRODUCT(MAX(('Belisario Quevedo'!$B$10:$B$24=D56)*(RIGHT('Belisario Quevedo'!$A$10:$A$24,1)="M")*VALUE("0"&amp;SUBSTITUTE(SUBSTITUTE(UPPER('Belisario Quevedo'!$A$10:$A$24),"F",""),"M",""))))&amp;"M"),"✖ error")</f>
        <v>✖ error</v>
      </c>
      <c r="O56" s="33">
        <v>7</v>
      </c>
      <c r="P56" s="33" t="str">
        <f>IFERROR(IF(AND(E56=F56,G56=H56,I56=J56,K56=L56,M56=N56,SUMPRODUCT(('Belisario Quevedo'!$B$10:$B$24=D56)*(RIGHT('Belisario Quevedo'!$A$10:$A$24,1)="F"))=4,SUMPRODUCT(('Belisario Quevedo'!$B$10:$B$24=D56)*(RIGHT('Belisario Quevedo'!$A$10:$A$24,1)="F")*VALUE("0"&amp;SUBSTITUTE(SUBSTITUTE(UPPER('Belisario Quevedo'!$A$10:$A$24),"F",""),"M","")))=26,SUMPRODUCT(('Belisario Quevedo'!$B$10:$B$24=D56)*(RIGHT('Belisario Quevedo'!$A$10:$A$24,1)="F")*VALUE("0"&amp;SUBSTITUTE(SUBSTITUTE(UPPER('Belisario Quevedo'!$A$10:$A$24),"F",""),"M",""))^2)=174,SUMPRODUCT(('Belisario Quevedo'!$B$10:$B$24=D56)*(RIGHT('Belisario Quevedo'!$A$10:$A$24,1)="M"))=3,SUMPRODUCT(('Belisario Quevedo'!$B$10:$B$24=D56)*(RIGHT('Belisario Quevedo'!$A$10:$A$24,1)="M")*VALUE("0"&amp;SUBSTITUTE(SUBSTITUTE(UPPER('Belisario Quevedo'!$A$10:$A$24),"F",""),"M","")))=18,SUMPRODUCT(('Belisario Quevedo'!$B$10:$B$24=D56)*(RIGHT('Belisario Quevedo'!$A$10:$A$24,1)="M")*VALUE("0"&amp;SUBSTITUTE(SUBSTITUTE(UPPER('Belisario Quevedo'!$A$10:$A$24),"F",""),"M",""))^2)=110),"✔ Verificado","✖ Revisar"),"✖ Revisar")</f>
        <v>✖ Revisar</v>
      </c>
    </row>
    <row r="57" spans="1:16" x14ac:dyDescent="0.2">
      <c r="A57" s="32" t="s">
        <v>15</v>
      </c>
      <c r="B57" s="33" t="s">
        <v>266</v>
      </c>
      <c r="C57" s="33">
        <v>1775</v>
      </c>
      <c r="D57" s="32" t="s">
        <v>199</v>
      </c>
      <c r="E57" s="33">
        <v>8391</v>
      </c>
      <c r="F57" s="33">
        <f>SUMIFS(Guaytacama!$E$5:$E$5,Guaytacama!$B$5:$B$5,D57)</f>
        <v>8391</v>
      </c>
      <c r="G57" s="33">
        <v>13</v>
      </c>
      <c r="H57" s="33">
        <f>COUNTIFS(Guaytacama!$B$9:$B$33,D57,Guaytacama!$A$9:$A$33,"*F")</f>
        <v>13</v>
      </c>
      <c r="I57" s="33">
        <v>12</v>
      </c>
      <c r="J57" s="33">
        <f>COUNTIFS(Guaytacama!$B$9:$B$33,D57,Guaytacama!$A$9:$A$33,"*M")</f>
        <v>12</v>
      </c>
      <c r="K57" s="33" t="s">
        <v>325</v>
      </c>
      <c r="L57" s="33" t="str">
        <f>IFERROR(IF(H57=0,"—",(1000-SUMPRODUCT(MAX((Guaytacama!$B$9:$B$33=D57)*(RIGHT(Guaytacama!$A$9:$A$33,1)="F")*(1000-VALUE("0"&amp;SUBSTITUTE(SUBSTITUTE(UPPER(Guaytacama!$A$9:$A$33),"F",""),"M",""))))))&amp;"F – "&amp;SUMPRODUCT(MAX((Guaytacama!$B$9:$B$33=D57)*(RIGHT(Guaytacama!$A$9:$A$33,1)="F")*VALUE("0"&amp;SUBSTITUTE(SUBSTITUTE(UPPER(Guaytacama!$A$9:$A$33),"F",""),"M",""))))&amp;"F"),"✖ error")</f>
        <v>✖ error</v>
      </c>
      <c r="M57" s="33" t="s">
        <v>326</v>
      </c>
      <c r="N57" s="33" t="str">
        <f>IFERROR(IF(J57=0,"—",(1000-SUMPRODUCT(MAX((Guaytacama!$B$9:$B$33=D57)*(RIGHT(Guaytacama!$A$9:$A$33,1)="M")*(1000-VALUE("0"&amp;SUBSTITUTE(SUBSTITUTE(UPPER(Guaytacama!$A$9:$A$33),"F",""),"M",""))))))&amp;"M – "&amp;SUMPRODUCT(MAX((Guaytacama!$B$9:$B$33=D57)*(RIGHT(Guaytacama!$A$9:$A$33,1)="M")*VALUE("0"&amp;SUBSTITUTE(SUBSTITUTE(UPPER(Guaytacama!$A$9:$A$33),"F",""),"M",""))))&amp;"M"),"✖ error")</f>
        <v>✖ error</v>
      </c>
      <c r="O57" s="33">
        <v>25</v>
      </c>
      <c r="P57" s="33" t="str">
        <f>IFERROR(IF(AND(E57=F57,G57=H57,I57=J57,K57=L57,M57=N57,SUMPRODUCT((Guaytacama!$B$9:$B$33=D57)*(RIGHT(Guaytacama!$A$9:$A$33,1)="F"))=13,SUMPRODUCT((Guaytacama!$B$9:$B$33=D57)*(RIGHT(Guaytacama!$A$9:$A$33,1)="F")*VALUE("0"&amp;SUBSTITUTE(SUBSTITUTE(UPPER(Guaytacama!$A$9:$A$33),"F",""),"M","")))=91,SUMPRODUCT((Guaytacama!$B$9:$B$33=D57)*(RIGHT(Guaytacama!$A$9:$A$33,1)="F")*VALUE("0"&amp;SUBSTITUTE(SUBSTITUTE(UPPER(Guaytacama!$A$9:$A$33),"F",""),"M",""))^2)=819,SUMPRODUCT((Guaytacama!$B$9:$B$33=D57)*(RIGHT(Guaytacama!$A$9:$A$33,1)="M"))=12,SUMPRODUCT((Guaytacama!$B$9:$B$33=D57)*(RIGHT(Guaytacama!$A$9:$A$33,1)="M")*VALUE("0"&amp;SUBSTITUTE(SUBSTITUTE(UPPER(Guaytacama!$A$9:$A$33),"F",""),"M","")))=78,SUMPRODUCT((Guaytacama!$B$9:$B$33=D57)*(RIGHT(Guaytacama!$A$9:$A$33,1)="M")*VALUE("0"&amp;SUBSTITUTE(SUBSTITUTE(UPPER(Guaytacama!$A$9:$A$33),"F",""),"M",""))^2)=650),"✔ Verificado","✖ Revisar"),"✖ Revisar")</f>
        <v>✖ Revisar</v>
      </c>
    </row>
    <row r="58" spans="1:16" x14ac:dyDescent="0.2">
      <c r="A58" s="32" t="s">
        <v>251</v>
      </c>
      <c r="B58" s="33" t="s">
        <v>266</v>
      </c>
      <c r="C58" s="33">
        <v>3104</v>
      </c>
      <c r="D58" s="32" t="s">
        <v>202</v>
      </c>
      <c r="E58" s="33">
        <v>1758</v>
      </c>
      <c r="F58" s="33">
        <f>SUMIFS('Joséguango Bajo (Santa Marianit'!$E$5:$E$5,'Joséguango Bajo (Santa Marianit'!$B$5:$B$5,D58)</f>
        <v>1758</v>
      </c>
      <c r="G58" s="33">
        <v>3</v>
      </c>
      <c r="H58" s="33">
        <f>COUNTIFS('Joséguango Bajo (Santa Marianit'!$B$9:$B$14,D58,'Joséguango Bajo (Santa Marianit'!$A$9:$A$14,"*F")</f>
        <v>3</v>
      </c>
      <c r="I58" s="33">
        <v>3</v>
      </c>
      <c r="J58" s="33">
        <f>COUNTIFS('Joséguango Bajo (Santa Marianit'!$B$9:$B$14,D58,'Joséguango Bajo (Santa Marianit'!$A$9:$A$14,"*M")</f>
        <v>3</v>
      </c>
      <c r="K58" s="33" t="s">
        <v>327</v>
      </c>
      <c r="L58" s="33" t="str">
        <f>IFERROR(IF(H58=0,"—",(1000-SUMPRODUCT(MAX(('Joséguango Bajo (Santa Marianit'!$B$9:$B$14=D58)*(RIGHT('Joséguango Bajo (Santa Marianit'!$A$9:$A$14,1)="F")*(1000-VALUE("0"&amp;SUBSTITUTE(SUBSTITUTE(UPPER('Joséguango Bajo (Santa Marianit'!$A$9:$A$14),"F",""),"M",""))))))&amp;"F – "&amp;SUMPRODUCT(MAX(('Joséguango Bajo (Santa Marianit'!$B$9:$B$14=D58)*(RIGHT('Joséguango Bajo (Santa Marianit'!$A$9:$A$14,1)="F")*VALUE("0"&amp;SUBSTITUTE(SUBSTITUTE(UPPER('Joséguango Bajo (Santa Marianit'!$A$9:$A$14),"F",""),"M",""))))&amp;"F"),"✖ error")</f>
        <v>✖ error</v>
      </c>
      <c r="M58" s="33" t="s">
        <v>318</v>
      </c>
      <c r="N58" s="33" t="str">
        <f>IFERROR(IF(J58=0,"—",(1000-SUMPRODUCT(MAX(('Joséguango Bajo (Santa Marianit'!$B$9:$B$14=D58)*(RIGHT('Joséguango Bajo (Santa Marianit'!$A$9:$A$14,1)="M")*(1000-VALUE("0"&amp;SUBSTITUTE(SUBSTITUTE(UPPER('Joséguango Bajo (Santa Marianit'!$A$9:$A$14),"F",""),"M",""))))))&amp;"M – "&amp;SUMPRODUCT(MAX(('Joséguango Bajo (Santa Marianit'!$B$9:$B$14=D58)*(RIGHT('Joséguango Bajo (Santa Marianit'!$A$9:$A$14,1)="M")*VALUE("0"&amp;SUBSTITUTE(SUBSTITUTE(UPPER('Joséguango Bajo (Santa Marianit'!$A$9:$A$14),"F",""),"M",""))))&amp;"M"),"✖ error")</f>
        <v>✖ error</v>
      </c>
      <c r="O58" s="33">
        <v>6</v>
      </c>
      <c r="P58" s="33" t="str">
        <f>IFERROR(IF(AND(E58=F58,G58=H58,I58=J58,K58=L58,M58=N58,SUMPRODUCT(('Joséguango Bajo (Santa Marianit'!$B$9:$B$14=D58)*(RIGHT('Joséguango Bajo (Santa Marianit'!$A$9:$A$14,1)="F"))=3,SUMPRODUCT(('Joséguango Bajo (Santa Marianit'!$B$9:$B$14=D58)*(RIGHT('Joséguango Bajo (Santa Marianit'!$A$9:$A$14,1)="F")*VALUE("0"&amp;SUBSTITUTE(SUBSTITUTE(UPPER('Joséguango Bajo (Santa Marianit'!$A$9:$A$14),"F",""),"M","")))=6,SUMPRODUCT(('Joséguango Bajo (Santa Marianit'!$B$9:$B$14=D58)*(RIGHT('Joséguango Bajo (Santa Marianit'!$A$9:$A$14,1)="F")*VALUE("0"&amp;SUBSTITUTE(SUBSTITUTE(UPPER('Joséguango Bajo (Santa Marianit'!$A$9:$A$14),"F",""),"M",""))^2)=14,SUMPRODUCT(('Joséguango Bajo (Santa Marianit'!$B$9:$B$14=D58)*(RIGHT('Joséguango Bajo (Santa Marianit'!$A$9:$A$14,1)="M"))=3,SUMPRODUCT(('Joséguango Bajo (Santa Marianit'!$B$9:$B$14=D58)*(RIGHT('Joséguango Bajo (Santa Marianit'!$A$9:$A$14,1)="M")*VALUE("0"&amp;SUBSTITUTE(SUBSTITUTE(UPPER('Joséguango Bajo (Santa Marianit'!$A$9:$A$14),"F",""),"M","")))=6,SUMPRODUCT(('Joséguango Bajo (Santa Marianit'!$B$9:$B$14=D58)*(RIGHT('Joséguango Bajo (Santa Marianit'!$A$9:$A$14,1)="M")*VALUE("0"&amp;SUBSTITUTE(SUBSTITUTE(UPPER('Joséguango Bajo (Santa Marianit'!$A$9:$A$14),"F",""),"M",""))^2)=14),"✔ Verificado","✖ Revisar"),"✖ Revisar")</f>
        <v>✖ Revisar</v>
      </c>
    </row>
    <row r="59" spans="1:16" x14ac:dyDescent="0.2">
      <c r="A59" s="32" t="s">
        <v>17</v>
      </c>
      <c r="B59" s="33" t="s">
        <v>266</v>
      </c>
      <c r="C59" s="33">
        <v>1783</v>
      </c>
      <c r="D59" s="32" t="s">
        <v>205</v>
      </c>
      <c r="E59" s="33">
        <v>2800</v>
      </c>
      <c r="F59" s="33">
        <f>SUMIFS(Mulaló!$E$5:$E$7,Mulaló!$B$5:$B$7,D59)</f>
        <v>2800</v>
      </c>
      <c r="G59" s="33">
        <v>4</v>
      </c>
      <c r="H59" s="33">
        <f>COUNTIFS(Mulaló!$B$11:$B$33,D59,Mulaló!$A$11:$A$33,"*F")</f>
        <v>4</v>
      </c>
      <c r="I59" s="33">
        <v>4</v>
      </c>
      <c r="J59" s="33">
        <f>COUNTIFS(Mulaló!$B$11:$B$33,D59,Mulaló!$A$11:$A$33,"*M")</f>
        <v>4</v>
      </c>
      <c r="K59" s="33" t="s">
        <v>303</v>
      </c>
      <c r="L59" s="33" t="str">
        <f>IFERROR(IF(H59=0,"—",(1000-SUMPRODUCT(MAX((Mulaló!$B$11:$B$33=D59)*(RIGHT(Mulaló!$A$11:$A$33,1)="F")*(1000-VALUE("0"&amp;SUBSTITUTE(SUBSTITUTE(UPPER(Mulaló!$A$11:$A$33),"F",""),"M",""))))))&amp;"F – "&amp;SUMPRODUCT(MAX((Mulaló!$B$11:$B$33=D59)*(RIGHT(Mulaló!$A$11:$A$33,1)="F")*VALUE("0"&amp;SUBSTITUTE(SUBSTITUTE(UPPER(Mulaló!$A$11:$A$33),"F",""),"M",""))))&amp;"F"),"✖ error")</f>
        <v>✖ error</v>
      </c>
      <c r="M59" s="33" t="s">
        <v>304</v>
      </c>
      <c r="N59" s="33" t="str">
        <f>IFERROR(IF(J59=0,"—",(1000-SUMPRODUCT(MAX((Mulaló!$B$11:$B$33=D59)*(RIGHT(Mulaló!$A$11:$A$33,1)="M")*(1000-VALUE("0"&amp;SUBSTITUTE(SUBSTITUTE(UPPER(Mulaló!$A$11:$A$33),"F",""),"M",""))))))&amp;"M – "&amp;SUMPRODUCT(MAX((Mulaló!$B$11:$B$33=D59)*(RIGHT(Mulaló!$A$11:$A$33,1)="M")*VALUE("0"&amp;SUBSTITUTE(SUBSTITUTE(UPPER(Mulaló!$A$11:$A$33),"F",""),"M",""))))&amp;"M"),"✖ error")</f>
        <v>✖ error</v>
      </c>
      <c r="O59" s="33">
        <v>8</v>
      </c>
      <c r="P59" s="33" t="str">
        <f>IFERROR(IF(AND(E59=F59,G59=H59,I59=J59,K59=L59,M59=N59,SUMPRODUCT((Mulaló!$B$11:$B$33=D59)*(RIGHT(Mulaló!$A$11:$A$33,1)="F"))=4,SUMPRODUCT((Mulaló!$B$11:$B$33=D59)*(RIGHT(Mulaló!$A$11:$A$33,1)="F")*VALUE("0"&amp;SUBSTITUTE(SUBSTITUTE(UPPER(Mulaló!$A$11:$A$33),"F",""),"M","")))=10,SUMPRODUCT((Mulaló!$B$11:$B$33=D59)*(RIGHT(Mulaló!$A$11:$A$33,1)="F")*VALUE("0"&amp;SUBSTITUTE(SUBSTITUTE(UPPER(Mulaló!$A$11:$A$33),"F",""),"M",""))^2)=30,SUMPRODUCT((Mulaló!$B$11:$B$33=D59)*(RIGHT(Mulaló!$A$11:$A$33,1)="M"))=4,SUMPRODUCT((Mulaló!$B$11:$B$33=D59)*(RIGHT(Mulaló!$A$11:$A$33,1)="M")*VALUE("0"&amp;SUBSTITUTE(SUBSTITUTE(UPPER(Mulaló!$A$11:$A$33),"F",""),"M","")))=10,SUMPRODUCT((Mulaló!$B$11:$B$33=D59)*(RIGHT(Mulaló!$A$11:$A$33,1)="M")*VALUE("0"&amp;SUBSTITUTE(SUBSTITUTE(UPPER(Mulaló!$A$11:$A$33),"F",""),"M",""))^2)=30),"✔ Verificado","✖ Revisar"),"✖ Revisar")</f>
        <v>✖ Revisar</v>
      </c>
    </row>
    <row r="60" spans="1:16" x14ac:dyDescent="0.2">
      <c r="A60" s="32" t="s">
        <v>17</v>
      </c>
      <c r="B60" s="33" t="s">
        <v>266</v>
      </c>
      <c r="C60" s="33">
        <v>1760</v>
      </c>
      <c r="D60" s="32" t="s">
        <v>207</v>
      </c>
      <c r="E60" s="33">
        <v>2800</v>
      </c>
      <c r="F60" s="33">
        <f>SUMIFS(Mulaló!$E$5:$E$7,Mulaló!$B$5:$B$7,D60)</f>
        <v>2800</v>
      </c>
      <c r="G60" s="33">
        <v>4</v>
      </c>
      <c r="H60" s="33">
        <f>COUNTIFS(Mulaló!$B$11:$B$33,D60,Mulaló!$A$11:$A$33,"*F")</f>
        <v>4</v>
      </c>
      <c r="I60" s="33">
        <v>4</v>
      </c>
      <c r="J60" s="33">
        <f>COUNTIFS(Mulaló!$B$11:$B$33,D60,Mulaló!$A$11:$A$33,"*M")</f>
        <v>4</v>
      </c>
      <c r="K60" s="33" t="s">
        <v>305</v>
      </c>
      <c r="L60" s="33" t="str">
        <f>IFERROR(IF(H60=0,"—",(1000-SUMPRODUCT(MAX((Mulaló!$B$11:$B$33=D60)*(RIGHT(Mulaló!$A$11:$A$33,1)="F")*(1000-VALUE("0"&amp;SUBSTITUTE(SUBSTITUTE(UPPER(Mulaló!$A$11:$A$33),"F",""),"M",""))))))&amp;"F – "&amp;SUMPRODUCT(MAX((Mulaló!$B$11:$B$33=D60)*(RIGHT(Mulaló!$A$11:$A$33,1)="F")*VALUE("0"&amp;SUBSTITUTE(SUBSTITUTE(UPPER(Mulaló!$A$11:$A$33),"F",""),"M",""))))&amp;"F"),"✖ error")</f>
        <v>✖ error</v>
      </c>
      <c r="M60" s="33" t="s">
        <v>306</v>
      </c>
      <c r="N60" s="33" t="str">
        <f>IFERROR(IF(J60=0,"—",(1000-SUMPRODUCT(MAX((Mulaló!$B$11:$B$33=D60)*(RIGHT(Mulaló!$A$11:$A$33,1)="M")*(1000-VALUE("0"&amp;SUBSTITUTE(SUBSTITUTE(UPPER(Mulaló!$A$11:$A$33),"F",""),"M",""))))))&amp;"M – "&amp;SUMPRODUCT(MAX((Mulaló!$B$11:$B$33=D60)*(RIGHT(Mulaló!$A$11:$A$33,1)="M")*VALUE("0"&amp;SUBSTITUTE(SUBSTITUTE(UPPER(Mulaló!$A$11:$A$33),"F",""),"M",""))))&amp;"M"),"✖ error")</f>
        <v>✖ error</v>
      </c>
      <c r="O60" s="33">
        <v>8</v>
      </c>
      <c r="P60" s="33" t="str">
        <f>IFERROR(IF(AND(E60=F60,G60=H60,I60=J60,K60=L60,M60=N60,SUMPRODUCT((Mulaló!$B$11:$B$33=D60)*(RIGHT(Mulaló!$A$11:$A$33,1)="F"))=4,SUMPRODUCT((Mulaló!$B$11:$B$33=D60)*(RIGHT(Mulaló!$A$11:$A$33,1)="F")*VALUE("0"&amp;SUBSTITUTE(SUBSTITUTE(UPPER(Mulaló!$A$11:$A$33),"F",""),"M","")))=26,SUMPRODUCT((Mulaló!$B$11:$B$33=D60)*(RIGHT(Mulaló!$A$11:$A$33,1)="F")*VALUE("0"&amp;SUBSTITUTE(SUBSTITUTE(UPPER(Mulaló!$A$11:$A$33),"F",""),"M",""))^2)=174,SUMPRODUCT((Mulaló!$B$11:$B$33=D60)*(RIGHT(Mulaló!$A$11:$A$33,1)="M"))=4,SUMPRODUCT((Mulaló!$B$11:$B$33=D60)*(RIGHT(Mulaló!$A$11:$A$33,1)="M")*VALUE("0"&amp;SUBSTITUTE(SUBSTITUTE(UPPER(Mulaló!$A$11:$A$33),"F",""),"M","")))=26,SUMPRODUCT((Mulaló!$B$11:$B$33=D60)*(RIGHT(Mulaló!$A$11:$A$33,1)="M")*VALUE("0"&amp;SUBSTITUTE(SUBSTITUTE(UPPER(Mulaló!$A$11:$A$33),"F",""),"M",""))^2)=174),"✔ Verificado","✖ Revisar"),"✖ Revisar")</f>
        <v>✖ Revisar</v>
      </c>
    </row>
    <row r="61" spans="1:16" x14ac:dyDescent="0.2">
      <c r="A61" s="32" t="s">
        <v>17</v>
      </c>
      <c r="B61" s="33" t="s">
        <v>266</v>
      </c>
      <c r="C61" s="33">
        <v>6292</v>
      </c>
      <c r="D61" s="32" t="s">
        <v>209</v>
      </c>
      <c r="E61" s="33">
        <v>2270</v>
      </c>
      <c r="F61" s="33">
        <f>SUMIFS(Mulaló!$E$5:$E$7,Mulaló!$B$5:$B$7,D61)</f>
        <v>2270</v>
      </c>
      <c r="G61" s="33">
        <v>4</v>
      </c>
      <c r="H61" s="33">
        <f>COUNTIFS(Mulaló!$B$11:$B$33,D61,Mulaló!$A$11:$A$33,"*F")</f>
        <v>4</v>
      </c>
      <c r="I61" s="33">
        <v>3</v>
      </c>
      <c r="J61" s="33">
        <f>COUNTIFS(Mulaló!$B$11:$B$33,D61,Mulaló!$A$11:$A$33,"*M")</f>
        <v>3</v>
      </c>
      <c r="K61" s="33" t="s">
        <v>295</v>
      </c>
      <c r="L61" s="33" t="str">
        <f>IFERROR(IF(H61=0,"—",(1000-SUMPRODUCT(MAX((Mulaló!$B$11:$B$33=D61)*(RIGHT(Mulaló!$A$11:$A$33,1)="F")*(1000-VALUE("0"&amp;SUBSTITUTE(SUBSTITUTE(UPPER(Mulaló!$A$11:$A$33),"F",""),"M",""))))))&amp;"F – "&amp;SUMPRODUCT(MAX((Mulaló!$B$11:$B$33=D61)*(RIGHT(Mulaló!$A$11:$A$33,1)="F")*VALUE("0"&amp;SUBSTITUTE(SUBSTITUTE(UPPER(Mulaló!$A$11:$A$33),"F",""),"M",""))))&amp;"F"),"✖ error")</f>
        <v>✖ error</v>
      </c>
      <c r="M61" s="33" t="s">
        <v>328</v>
      </c>
      <c r="N61" s="33" t="str">
        <f>IFERROR(IF(J61=0,"—",(1000-SUMPRODUCT(MAX((Mulaló!$B$11:$B$33=D61)*(RIGHT(Mulaló!$A$11:$A$33,1)="M")*(1000-VALUE("0"&amp;SUBSTITUTE(SUBSTITUTE(UPPER(Mulaló!$A$11:$A$33),"F",""),"M",""))))))&amp;"M – "&amp;SUMPRODUCT(MAX((Mulaló!$B$11:$B$33=D61)*(RIGHT(Mulaló!$A$11:$A$33,1)="M")*VALUE("0"&amp;SUBSTITUTE(SUBSTITUTE(UPPER(Mulaló!$A$11:$A$33),"F",""),"M",""))))&amp;"M"),"✖ error")</f>
        <v>✖ error</v>
      </c>
      <c r="O61" s="33">
        <v>7</v>
      </c>
      <c r="P61" s="33" t="str">
        <f>IFERROR(IF(AND(E61=F61,G61=H61,I61=J61,K61=L61,M61=N61,SUMPRODUCT((Mulaló!$B$11:$B$33=D61)*(RIGHT(Mulaló!$A$11:$A$33,1)="F"))=4,SUMPRODUCT((Mulaló!$B$11:$B$33=D61)*(RIGHT(Mulaló!$A$11:$A$33,1)="F")*VALUE("0"&amp;SUBSTITUTE(SUBSTITUTE(UPPER(Mulaló!$A$11:$A$33),"F",""),"M","")))=42,SUMPRODUCT((Mulaló!$B$11:$B$33=D61)*(RIGHT(Mulaló!$A$11:$A$33,1)="F")*VALUE("0"&amp;SUBSTITUTE(SUBSTITUTE(UPPER(Mulaló!$A$11:$A$33),"F",""),"M",""))^2)=446,SUMPRODUCT((Mulaló!$B$11:$B$33=D61)*(RIGHT(Mulaló!$A$11:$A$33,1)="M"))=3,SUMPRODUCT((Mulaló!$B$11:$B$33=D61)*(RIGHT(Mulaló!$A$11:$A$33,1)="M")*VALUE("0"&amp;SUBSTITUTE(SUBSTITUTE(UPPER(Mulaló!$A$11:$A$33),"F",""),"M","")))=30,SUMPRODUCT((Mulaló!$B$11:$B$33=D61)*(RIGHT(Mulaló!$A$11:$A$33,1)="M")*VALUE("0"&amp;SUBSTITUTE(SUBSTITUTE(UPPER(Mulaló!$A$11:$A$33),"F",""),"M",""))^2)=302),"✔ Verificado","✖ Revisar"),"✖ Revisar")</f>
        <v>✖ Revisar</v>
      </c>
    </row>
    <row r="62" spans="1:16" x14ac:dyDescent="0.2">
      <c r="A62" s="32" t="s">
        <v>18</v>
      </c>
      <c r="B62" s="33" t="s">
        <v>266</v>
      </c>
      <c r="C62" s="33">
        <v>1572</v>
      </c>
      <c r="D62" s="32" t="s">
        <v>212</v>
      </c>
      <c r="E62" s="33">
        <v>2145</v>
      </c>
      <c r="F62" s="33">
        <f>SUMIFS('Once de Noviembre (Ilinchisí)'!$E$5:$E$5,'Once de Noviembre (Ilinchisí)'!$B$5:$B$5,D62)</f>
        <v>2145</v>
      </c>
      <c r="G62" s="33">
        <v>4</v>
      </c>
      <c r="H62" s="33">
        <f>COUNTIFS('Once de Noviembre (Ilinchisí)'!$B$9:$B$15,D62,'Once de Noviembre (Ilinchisí)'!$A$9:$A$15,"*F")</f>
        <v>4</v>
      </c>
      <c r="I62" s="33">
        <v>3</v>
      </c>
      <c r="J62" s="33">
        <f>COUNTIFS('Once de Noviembre (Ilinchisí)'!$B$9:$B$15,D62,'Once de Noviembre (Ilinchisí)'!$A$9:$A$15,"*M")</f>
        <v>3</v>
      </c>
      <c r="K62" s="33" t="s">
        <v>303</v>
      </c>
      <c r="L62" s="33" t="str">
        <f>IFERROR(IF(H62=0,"—",(1000-SUMPRODUCT(MAX(('Once de Noviembre (Ilinchisí)'!$B$9:$B$15=D62)*(RIGHT('Once de Noviembre (Ilinchisí)'!$A$9:$A$15,1)="F")*(1000-VALUE("0"&amp;SUBSTITUTE(SUBSTITUTE(UPPER('Once de Noviembre (Ilinchisí)'!$A$9:$A$15),"F",""),"M",""))))))&amp;"F – "&amp;SUMPRODUCT(MAX(('Once de Noviembre (Ilinchisí)'!$B$9:$B$15=D62)*(RIGHT('Once de Noviembre (Ilinchisí)'!$A$9:$A$15,1)="F")*VALUE("0"&amp;SUBSTITUTE(SUBSTITUTE(UPPER('Once de Noviembre (Ilinchisí)'!$A$9:$A$15),"F",""),"M",""))))&amp;"F"),"✖ error")</f>
        <v>✖ error</v>
      </c>
      <c r="M62" s="33" t="s">
        <v>318</v>
      </c>
      <c r="N62" s="33" t="str">
        <f>IFERROR(IF(J62=0,"—",(1000-SUMPRODUCT(MAX(('Once de Noviembre (Ilinchisí)'!$B$9:$B$15=D62)*(RIGHT('Once de Noviembre (Ilinchisí)'!$A$9:$A$15,1)="M")*(1000-VALUE("0"&amp;SUBSTITUTE(SUBSTITUTE(UPPER('Once de Noviembre (Ilinchisí)'!$A$9:$A$15),"F",""),"M",""))))))&amp;"M – "&amp;SUMPRODUCT(MAX(('Once de Noviembre (Ilinchisí)'!$B$9:$B$15=D62)*(RIGHT('Once de Noviembre (Ilinchisí)'!$A$9:$A$15,1)="M")*VALUE("0"&amp;SUBSTITUTE(SUBSTITUTE(UPPER('Once de Noviembre (Ilinchisí)'!$A$9:$A$15),"F",""),"M",""))))&amp;"M"),"✖ error")</f>
        <v>✖ error</v>
      </c>
      <c r="O62" s="33">
        <v>7</v>
      </c>
      <c r="P62" s="33" t="str">
        <f>IFERROR(IF(AND(E62=F62,G62=H62,I62=J62,K62=L62,M62=N62,SUMPRODUCT(('Once de Noviembre (Ilinchisí)'!$B$9:$B$15=D62)*(RIGHT('Once de Noviembre (Ilinchisí)'!$A$9:$A$15,1)="F"))=4,SUMPRODUCT(('Once de Noviembre (Ilinchisí)'!$B$9:$B$15=D62)*(RIGHT('Once de Noviembre (Ilinchisí)'!$A$9:$A$15,1)="F")*VALUE("0"&amp;SUBSTITUTE(SUBSTITUTE(UPPER('Once de Noviembre (Ilinchisí)'!$A$9:$A$15),"F",""),"M","")))=10,SUMPRODUCT(('Once de Noviembre (Ilinchisí)'!$B$9:$B$15=D62)*(RIGHT('Once de Noviembre (Ilinchisí)'!$A$9:$A$15,1)="F")*VALUE("0"&amp;SUBSTITUTE(SUBSTITUTE(UPPER('Once de Noviembre (Ilinchisí)'!$A$9:$A$15),"F",""),"M",""))^2)=30,SUMPRODUCT(('Once de Noviembre (Ilinchisí)'!$B$9:$B$15=D62)*(RIGHT('Once de Noviembre (Ilinchisí)'!$A$9:$A$15,1)="M"))=3,SUMPRODUCT(('Once de Noviembre (Ilinchisí)'!$B$9:$B$15=D62)*(RIGHT('Once de Noviembre (Ilinchisí)'!$A$9:$A$15,1)="M")*VALUE("0"&amp;SUBSTITUTE(SUBSTITUTE(UPPER('Once de Noviembre (Ilinchisí)'!$A$9:$A$15),"F",""),"M","")))=6,SUMPRODUCT(('Once de Noviembre (Ilinchisí)'!$B$9:$B$15=D62)*(RIGHT('Once de Noviembre (Ilinchisí)'!$A$9:$A$15,1)="M")*VALUE("0"&amp;SUBSTITUTE(SUBSTITUTE(UPPER('Once de Noviembre (Ilinchisí)'!$A$9:$A$15),"F",""),"M",""))^2)=14),"✔ Verificado","✖ Revisar"),"✖ Revisar")</f>
        <v>✖ Revisar</v>
      </c>
    </row>
    <row r="63" spans="1:16" x14ac:dyDescent="0.2">
      <c r="A63" s="32" t="s">
        <v>19</v>
      </c>
      <c r="B63" s="33" t="s">
        <v>266</v>
      </c>
      <c r="C63" s="33">
        <v>6304</v>
      </c>
      <c r="D63" s="32" t="s">
        <v>215</v>
      </c>
      <c r="E63" s="33">
        <v>1400</v>
      </c>
      <c r="F63" s="33">
        <f>SUMIFS(Poaló!$E$5:$E$6,Poaló!$B$5:$B$6,D63)</f>
        <v>1400</v>
      </c>
      <c r="G63" s="33">
        <v>2</v>
      </c>
      <c r="H63" s="33">
        <f>COUNTIFS(Poaló!$B$10:$B$24,D63,Poaló!$A$10:$A$24,"*F")</f>
        <v>2</v>
      </c>
      <c r="I63" s="33">
        <v>2</v>
      </c>
      <c r="J63" s="33">
        <f>COUNTIFS(Poaló!$B$10:$B$24,D63,Poaló!$A$10:$A$24,"*M")</f>
        <v>2</v>
      </c>
      <c r="K63" s="33" t="s">
        <v>329</v>
      </c>
      <c r="L63" s="33" t="str">
        <f>IFERROR(IF(H63=0,"—",(1000-SUMPRODUCT(MAX((Poaló!$B$10:$B$24=D63)*(RIGHT(Poaló!$A$10:$A$24,1)="F")*(1000-VALUE("0"&amp;SUBSTITUTE(SUBSTITUTE(UPPER(Poaló!$A$10:$A$24),"F",""),"M",""))))))&amp;"F – "&amp;SUMPRODUCT(MAX((Poaló!$B$10:$B$24=D63)*(RIGHT(Poaló!$A$10:$A$24,1)="F")*VALUE("0"&amp;SUBSTITUTE(SUBSTITUTE(UPPER(Poaló!$A$10:$A$24),"F",""),"M",""))))&amp;"F"),"✖ error")</f>
        <v>✖ error</v>
      </c>
      <c r="M63" s="33" t="s">
        <v>330</v>
      </c>
      <c r="N63" s="33" t="str">
        <f>IFERROR(IF(J63=0,"—",(1000-SUMPRODUCT(MAX((Poaló!$B$10:$B$24=D63)*(RIGHT(Poaló!$A$10:$A$24,1)="M")*(1000-VALUE("0"&amp;SUBSTITUTE(SUBSTITUTE(UPPER(Poaló!$A$10:$A$24),"F",""),"M",""))))))&amp;"M – "&amp;SUMPRODUCT(MAX((Poaló!$B$10:$B$24=D63)*(RIGHT(Poaló!$A$10:$A$24,1)="M")*VALUE("0"&amp;SUBSTITUTE(SUBSTITUTE(UPPER(Poaló!$A$10:$A$24),"F",""),"M",""))))&amp;"M"),"✖ error")</f>
        <v>✖ error</v>
      </c>
      <c r="O63" s="33">
        <v>4</v>
      </c>
      <c r="P63" s="33" t="str">
        <f>IFERROR(IF(AND(E63=F63,G63=H63,I63=J63,K63=L63,M63=N63,SUMPRODUCT((Poaló!$B$10:$B$24=D63)*(RIGHT(Poaló!$A$10:$A$24,1)="F"))=2,SUMPRODUCT((Poaló!$B$10:$B$24=D63)*(RIGHT(Poaló!$A$10:$A$24,1)="F")*VALUE("0"&amp;SUBSTITUTE(SUBSTITUTE(UPPER(Poaló!$A$10:$A$24),"F",""),"M","")))=3,SUMPRODUCT((Poaló!$B$10:$B$24=D63)*(RIGHT(Poaló!$A$10:$A$24,1)="F")*VALUE("0"&amp;SUBSTITUTE(SUBSTITUTE(UPPER(Poaló!$A$10:$A$24),"F",""),"M",""))^2)=5,SUMPRODUCT((Poaló!$B$10:$B$24=D63)*(RIGHT(Poaló!$A$10:$A$24,1)="M"))=2,SUMPRODUCT((Poaló!$B$10:$B$24=D63)*(RIGHT(Poaló!$A$10:$A$24,1)="M")*VALUE("0"&amp;SUBSTITUTE(SUBSTITUTE(UPPER(Poaló!$A$10:$A$24),"F",""),"M","")))=3,SUMPRODUCT((Poaló!$B$10:$B$24=D63)*(RIGHT(Poaló!$A$10:$A$24,1)="M")*VALUE("0"&amp;SUBSTITUTE(SUBSTITUTE(UPPER(Poaló!$A$10:$A$24),"F",""),"M",""))^2)=5),"✔ Verificado","✖ Revisar"),"✖ Revisar")</f>
        <v>✖ Revisar</v>
      </c>
    </row>
    <row r="64" spans="1:16" x14ac:dyDescent="0.2">
      <c r="A64" s="32" t="s">
        <v>19</v>
      </c>
      <c r="B64" s="33" t="s">
        <v>266</v>
      </c>
      <c r="C64" s="33">
        <v>1559</v>
      </c>
      <c r="D64" s="32" t="s">
        <v>217</v>
      </c>
      <c r="E64" s="33">
        <v>3641</v>
      </c>
      <c r="F64" s="33">
        <f>SUMIFS(Poaló!$E$5:$E$6,Poaló!$B$5:$B$6,D64)</f>
        <v>3641</v>
      </c>
      <c r="G64" s="33">
        <v>6</v>
      </c>
      <c r="H64" s="33">
        <f>COUNTIFS(Poaló!$B$10:$B$24,D64,Poaló!$A$10:$A$24,"*F")</f>
        <v>6</v>
      </c>
      <c r="I64" s="33">
        <v>5</v>
      </c>
      <c r="J64" s="33">
        <f>COUNTIFS(Poaló!$B$10:$B$24,D64,Poaló!$A$10:$A$24,"*M")</f>
        <v>5</v>
      </c>
      <c r="K64" s="33" t="s">
        <v>331</v>
      </c>
      <c r="L64" s="33" t="str">
        <f>IFERROR(IF(H64=0,"—",(1000-SUMPRODUCT(MAX((Poaló!$B$10:$B$24=D64)*(RIGHT(Poaló!$A$10:$A$24,1)="F")*(1000-VALUE("0"&amp;SUBSTITUTE(SUBSTITUTE(UPPER(Poaló!$A$10:$A$24),"F",""),"M",""))))))&amp;"F – "&amp;SUMPRODUCT(MAX((Poaló!$B$10:$B$24=D64)*(RIGHT(Poaló!$A$10:$A$24,1)="F")*VALUE("0"&amp;SUBSTITUTE(SUBSTITUTE(UPPER(Poaló!$A$10:$A$24),"F",""),"M",""))))&amp;"F"),"✖ error")</f>
        <v>✖ error</v>
      </c>
      <c r="M64" s="33" t="s">
        <v>332</v>
      </c>
      <c r="N64" s="33" t="str">
        <f>IFERROR(IF(J64=0,"—",(1000-SUMPRODUCT(MAX((Poaló!$B$10:$B$24=D64)*(RIGHT(Poaló!$A$10:$A$24,1)="M")*(1000-VALUE("0"&amp;SUBSTITUTE(SUBSTITUTE(UPPER(Poaló!$A$10:$A$24),"F",""),"M",""))))))&amp;"M – "&amp;SUMPRODUCT(MAX((Poaló!$B$10:$B$24=D64)*(RIGHT(Poaló!$A$10:$A$24,1)="M")*VALUE("0"&amp;SUBSTITUTE(SUBSTITUTE(UPPER(Poaló!$A$10:$A$24),"F",""),"M",""))))&amp;"M"),"✖ error")</f>
        <v>✖ error</v>
      </c>
      <c r="O64" s="33">
        <v>11</v>
      </c>
      <c r="P64" s="33" t="str">
        <f>IFERROR(IF(AND(E64=F64,G64=H64,I64=J64,K64=L64,M64=N64,SUMPRODUCT((Poaló!$B$10:$B$24=D64)*(RIGHT(Poaló!$A$10:$A$24,1)="F"))=6,SUMPRODUCT((Poaló!$B$10:$B$24=D64)*(RIGHT(Poaló!$A$10:$A$24,1)="F")*VALUE("0"&amp;SUBSTITUTE(SUBSTITUTE(UPPER(Poaló!$A$10:$A$24),"F",""),"M","")))=33,SUMPRODUCT((Poaló!$B$10:$B$24=D64)*(RIGHT(Poaló!$A$10:$A$24,1)="F")*VALUE("0"&amp;SUBSTITUTE(SUBSTITUTE(UPPER(Poaló!$A$10:$A$24),"F",""),"M",""))^2)=199,SUMPRODUCT((Poaló!$B$10:$B$24=D64)*(RIGHT(Poaló!$A$10:$A$24,1)="M"))=5,SUMPRODUCT((Poaló!$B$10:$B$24=D64)*(RIGHT(Poaló!$A$10:$A$24,1)="M")*VALUE("0"&amp;SUBSTITUTE(SUBSTITUTE(UPPER(Poaló!$A$10:$A$24),"F",""),"M","")))=25,SUMPRODUCT((Poaló!$B$10:$B$24=D64)*(RIGHT(Poaló!$A$10:$A$24,1)="M")*VALUE("0"&amp;SUBSTITUTE(SUBSTITUTE(UPPER(Poaló!$A$10:$A$24),"F",""),"M",""))^2)=135),"✔ Verificado","✖ Revisar"),"✖ Revisar")</f>
        <v>✖ Revisar</v>
      </c>
    </row>
    <row r="65" spans="1:16" x14ac:dyDescent="0.2">
      <c r="A65" s="32" t="s">
        <v>20</v>
      </c>
      <c r="B65" s="33" t="s">
        <v>333</v>
      </c>
      <c r="C65" s="33">
        <v>6305</v>
      </c>
      <c r="D65" s="32" t="s">
        <v>220</v>
      </c>
      <c r="E65" s="33">
        <v>2800</v>
      </c>
      <c r="F65" s="33">
        <f>SUMIFS('San Juan de Pastocalle'!$E$5:$E$8,'San Juan de Pastocalle'!$B$5:$B$8,D65)</f>
        <v>2800</v>
      </c>
      <c r="G65" s="33">
        <v>4</v>
      </c>
      <c r="H65" s="33">
        <f>COUNTIFS('San Juan de Pastocalle'!$B$12:$B$40,D65,'San Juan de Pastocalle'!$A$12:$A$40,"*F")</f>
        <v>4</v>
      </c>
      <c r="I65" s="33">
        <v>4</v>
      </c>
      <c r="J65" s="33">
        <f>COUNTIFS('San Juan de Pastocalle'!$B$12:$B$40,D65,'San Juan de Pastocalle'!$A$12:$A$40,"*M")</f>
        <v>4</v>
      </c>
      <c r="K65" s="33" t="s">
        <v>303</v>
      </c>
      <c r="L65" s="33" t="str">
        <f>IFERROR(IF(H65=0,"—",(1000-SUMPRODUCT(MAX(('San Juan de Pastocalle'!$B$12:$B$40=D65)*(RIGHT('San Juan de Pastocalle'!$A$12:$A$40,1)="F")*(1000-VALUE("0"&amp;SUBSTITUTE(SUBSTITUTE(UPPER('San Juan de Pastocalle'!$A$12:$A$40),"F",""),"M",""))))))&amp;"F – "&amp;SUMPRODUCT(MAX(('San Juan de Pastocalle'!$B$12:$B$40=D65)*(RIGHT('San Juan de Pastocalle'!$A$12:$A$40,1)="F")*VALUE("0"&amp;SUBSTITUTE(SUBSTITUTE(UPPER('San Juan de Pastocalle'!$A$12:$A$40),"F",""),"M",""))))&amp;"F"),"✖ error")</f>
        <v>✖ error</v>
      </c>
      <c r="M65" s="33" t="s">
        <v>304</v>
      </c>
      <c r="N65" s="33" t="str">
        <f>IFERROR(IF(J65=0,"—",(1000-SUMPRODUCT(MAX(('San Juan de Pastocalle'!$B$12:$B$40=D65)*(RIGHT('San Juan de Pastocalle'!$A$12:$A$40,1)="M")*(1000-VALUE("0"&amp;SUBSTITUTE(SUBSTITUTE(UPPER('San Juan de Pastocalle'!$A$12:$A$40),"F",""),"M",""))))))&amp;"M – "&amp;SUMPRODUCT(MAX(('San Juan de Pastocalle'!$B$12:$B$40=D65)*(RIGHT('San Juan de Pastocalle'!$A$12:$A$40,1)="M")*VALUE("0"&amp;SUBSTITUTE(SUBSTITUTE(UPPER('San Juan de Pastocalle'!$A$12:$A$40),"F",""),"M",""))))&amp;"M"),"✖ error")</f>
        <v>✖ error</v>
      </c>
      <c r="O65" s="33">
        <v>8</v>
      </c>
      <c r="P65" s="33" t="str">
        <f>IFERROR(IF(AND(E65=F65,G65=H65,I65=J65,K65=L65,M65=N65,SUMPRODUCT(('San Juan de Pastocalle'!$B$12:$B$40=D65)*(RIGHT('San Juan de Pastocalle'!$A$12:$A$40,1)="F"))=4,SUMPRODUCT(('San Juan de Pastocalle'!$B$12:$B$40=D65)*(RIGHT('San Juan de Pastocalle'!$A$12:$A$40,1)="F")*VALUE("0"&amp;SUBSTITUTE(SUBSTITUTE(UPPER('San Juan de Pastocalle'!$A$12:$A$40),"F",""),"M","")))=10,SUMPRODUCT(('San Juan de Pastocalle'!$B$12:$B$40=D65)*(RIGHT('San Juan de Pastocalle'!$A$12:$A$40,1)="F")*VALUE("0"&amp;SUBSTITUTE(SUBSTITUTE(UPPER('San Juan de Pastocalle'!$A$12:$A$40),"F",""),"M",""))^2)=30,SUMPRODUCT(('San Juan de Pastocalle'!$B$12:$B$40=D65)*(RIGHT('San Juan de Pastocalle'!$A$12:$A$40,1)="M"))=4,SUMPRODUCT(('San Juan de Pastocalle'!$B$12:$B$40=D65)*(RIGHT('San Juan de Pastocalle'!$A$12:$A$40,1)="M")*VALUE("0"&amp;SUBSTITUTE(SUBSTITUTE(UPPER('San Juan de Pastocalle'!$A$12:$A$40),"F",""),"M","")))=10,SUMPRODUCT(('San Juan de Pastocalle'!$B$12:$B$40=D65)*(RIGHT('San Juan de Pastocalle'!$A$12:$A$40,1)="M")*VALUE("0"&amp;SUBSTITUTE(SUBSTITUTE(UPPER('San Juan de Pastocalle'!$A$12:$A$40),"F",""),"M",""))^2)=30),"✔ Verificado","✖ Revisar"),"✖ Revisar")</f>
        <v>✖ Revisar</v>
      </c>
    </row>
    <row r="66" spans="1:16" x14ac:dyDescent="0.2">
      <c r="A66" s="32" t="s">
        <v>20</v>
      </c>
      <c r="B66" s="33" t="s">
        <v>333</v>
      </c>
      <c r="C66" s="33">
        <v>1788</v>
      </c>
      <c r="D66" s="32" t="s">
        <v>222</v>
      </c>
      <c r="E66" s="33">
        <v>3150</v>
      </c>
      <c r="F66" s="33">
        <f>SUMIFS('San Juan de Pastocalle'!$E$5:$E$8,'San Juan de Pastocalle'!$B$5:$B$8,D66)</f>
        <v>3150</v>
      </c>
      <c r="G66" s="33">
        <v>5</v>
      </c>
      <c r="H66" s="33">
        <f>COUNTIFS('San Juan de Pastocalle'!$B$12:$B$40,D66,'San Juan de Pastocalle'!$A$12:$A$40,"*F")</f>
        <v>5</v>
      </c>
      <c r="I66" s="33">
        <v>4</v>
      </c>
      <c r="J66" s="33">
        <f>COUNTIFS('San Juan de Pastocalle'!$B$12:$B$40,D66,'San Juan de Pastocalle'!$A$12:$A$40,"*M")</f>
        <v>4</v>
      </c>
      <c r="K66" s="33" t="s">
        <v>319</v>
      </c>
      <c r="L66" s="33" t="str">
        <f>IFERROR(IF(H66=0,"—",(1000-SUMPRODUCT(MAX(('San Juan de Pastocalle'!$B$12:$B$40=D66)*(RIGHT('San Juan de Pastocalle'!$A$12:$A$40,1)="F")*(1000-VALUE("0"&amp;SUBSTITUTE(SUBSTITUTE(UPPER('San Juan de Pastocalle'!$A$12:$A$40),"F",""),"M",""))))))&amp;"F – "&amp;SUMPRODUCT(MAX(('San Juan de Pastocalle'!$B$12:$B$40=D66)*(RIGHT('San Juan de Pastocalle'!$A$12:$A$40,1)="F")*VALUE("0"&amp;SUBSTITUTE(SUBSTITUTE(UPPER('San Juan de Pastocalle'!$A$12:$A$40),"F",""),"M",""))))&amp;"F"),"✖ error")</f>
        <v>✖ error</v>
      </c>
      <c r="M66" s="33" t="s">
        <v>306</v>
      </c>
      <c r="N66" s="33" t="str">
        <f>IFERROR(IF(J66=0,"—",(1000-SUMPRODUCT(MAX(('San Juan de Pastocalle'!$B$12:$B$40=D66)*(RIGHT('San Juan de Pastocalle'!$A$12:$A$40,1)="M")*(1000-VALUE("0"&amp;SUBSTITUTE(SUBSTITUTE(UPPER('San Juan de Pastocalle'!$A$12:$A$40),"F",""),"M",""))))))&amp;"M – "&amp;SUMPRODUCT(MAX(('San Juan de Pastocalle'!$B$12:$B$40=D66)*(RIGHT('San Juan de Pastocalle'!$A$12:$A$40,1)="M")*VALUE("0"&amp;SUBSTITUTE(SUBSTITUTE(UPPER('San Juan de Pastocalle'!$A$12:$A$40),"F",""),"M",""))))&amp;"M"),"✖ error")</f>
        <v>✖ error</v>
      </c>
      <c r="O66" s="33">
        <v>9</v>
      </c>
      <c r="P66" s="33" t="str">
        <f>IFERROR(IF(AND(E66=F66,G66=H66,I66=J66,K66=L66,M66=N66,SUMPRODUCT(('San Juan de Pastocalle'!$B$12:$B$40=D66)*(RIGHT('San Juan de Pastocalle'!$A$12:$A$40,1)="F"))=5,SUMPRODUCT(('San Juan de Pastocalle'!$B$12:$B$40=D66)*(RIGHT('San Juan de Pastocalle'!$A$12:$A$40,1)="F")*VALUE("0"&amp;SUBSTITUTE(SUBSTITUTE(UPPER('San Juan de Pastocalle'!$A$12:$A$40),"F",""),"M","")))=35,SUMPRODUCT(('San Juan de Pastocalle'!$B$12:$B$40=D66)*(RIGHT('San Juan de Pastocalle'!$A$12:$A$40,1)="F")*VALUE("0"&amp;SUBSTITUTE(SUBSTITUTE(UPPER('San Juan de Pastocalle'!$A$12:$A$40),"F",""),"M",""))^2)=255,SUMPRODUCT(('San Juan de Pastocalle'!$B$12:$B$40=D66)*(RIGHT('San Juan de Pastocalle'!$A$12:$A$40,1)="M"))=4,SUMPRODUCT(('San Juan de Pastocalle'!$B$12:$B$40=D66)*(RIGHT('San Juan de Pastocalle'!$A$12:$A$40,1)="M")*VALUE("0"&amp;SUBSTITUTE(SUBSTITUTE(UPPER('San Juan de Pastocalle'!$A$12:$A$40),"F",""),"M","")))=26,SUMPRODUCT(('San Juan de Pastocalle'!$B$12:$B$40=D66)*(RIGHT('San Juan de Pastocalle'!$A$12:$A$40,1)="M")*VALUE("0"&amp;SUBSTITUTE(SUBSTITUTE(UPPER('San Juan de Pastocalle'!$A$12:$A$40),"F",""),"M",""))^2)=174),"✔ Verificado","✖ Revisar"),"✖ Revisar")</f>
        <v>✖ Revisar</v>
      </c>
    </row>
    <row r="67" spans="1:16" x14ac:dyDescent="0.2">
      <c r="A67" s="32" t="s">
        <v>20</v>
      </c>
      <c r="B67" s="33" t="s">
        <v>333</v>
      </c>
      <c r="C67" s="33">
        <v>1789</v>
      </c>
      <c r="D67" s="32" t="s">
        <v>224</v>
      </c>
      <c r="E67" s="33">
        <v>3371</v>
      </c>
      <c r="F67" s="33">
        <f>SUMIFS('San Juan de Pastocalle'!$E$5:$E$8,'San Juan de Pastocalle'!$B$5:$B$8,D67)</f>
        <v>3371</v>
      </c>
      <c r="G67" s="33">
        <v>5</v>
      </c>
      <c r="H67" s="33">
        <f>COUNTIFS('San Juan de Pastocalle'!$B$12:$B$40,D67,'San Juan de Pastocalle'!$A$12:$A$40,"*F")</f>
        <v>5</v>
      </c>
      <c r="I67" s="33">
        <v>5</v>
      </c>
      <c r="J67" s="33">
        <f>COUNTIFS('San Juan de Pastocalle'!$B$12:$B$40,D67,'San Juan de Pastocalle'!$A$12:$A$40,"*M")</f>
        <v>5</v>
      </c>
      <c r="K67" s="33" t="s">
        <v>334</v>
      </c>
      <c r="L67" s="33" t="str">
        <f>IFERROR(IF(H67=0,"—",(1000-SUMPRODUCT(MAX(('San Juan de Pastocalle'!$B$12:$B$40=D67)*(RIGHT('San Juan de Pastocalle'!$A$12:$A$40,1)="F")*(1000-VALUE("0"&amp;SUBSTITUTE(SUBSTITUTE(UPPER('San Juan de Pastocalle'!$A$12:$A$40),"F",""),"M",""))))))&amp;"F – "&amp;SUMPRODUCT(MAX(('San Juan de Pastocalle'!$B$12:$B$40=D67)*(RIGHT('San Juan de Pastocalle'!$A$12:$A$40,1)="F")*VALUE("0"&amp;SUBSTITUTE(SUBSTITUTE(UPPER('San Juan de Pastocalle'!$A$12:$A$40),"F",""),"M",""))))&amp;"F"),"✖ error")</f>
        <v>✖ error</v>
      </c>
      <c r="M67" s="33" t="s">
        <v>335</v>
      </c>
      <c r="N67" s="33" t="str">
        <f>IFERROR(IF(J67=0,"—",(1000-SUMPRODUCT(MAX(('San Juan de Pastocalle'!$B$12:$B$40=D67)*(RIGHT('San Juan de Pastocalle'!$A$12:$A$40,1)="M")*(1000-VALUE("0"&amp;SUBSTITUTE(SUBSTITUTE(UPPER('San Juan de Pastocalle'!$A$12:$A$40),"F",""),"M",""))))))&amp;"M – "&amp;SUMPRODUCT(MAX(('San Juan de Pastocalle'!$B$12:$B$40=D67)*(RIGHT('San Juan de Pastocalle'!$A$12:$A$40,1)="M")*VALUE("0"&amp;SUBSTITUTE(SUBSTITUTE(UPPER('San Juan de Pastocalle'!$A$12:$A$40),"F",""),"M",""))))&amp;"M"),"✖ error")</f>
        <v>✖ error</v>
      </c>
      <c r="O67" s="33">
        <v>10</v>
      </c>
      <c r="P67" s="33" t="str">
        <f>IFERROR(IF(AND(E67=F67,G67=H67,I67=J67,K67=L67,M67=N67,SUMPRODUCT(('San Juan de Pastocalle'!$B$12:$B$40=D67)*(RIGHT('San Juan de Pastocalle'!$A$12:$A$40,1)="F"))=5,SUMPRODUCT(('San Juan de Pastocalle'!$B$12:$B$40=D67)*(RIGHT('San Juan de Pastocalle'!$A$12:$A$40,1)="F")*VALUE("0"&amp;SUBSTITUTE(SUBSTITUTE(UPPER('San Juan de Pastocalle'!$A$12:$A$40),"F",""),"M","")))=60,SUMPRODUCT(('San Juan de Pastocalle'!$B$12:$B$40=D67)*(RIGHT('San Juan de Pastocalle'!$A$12:$A$40,1)="F")*VALUE("0"&amp;SUBSTITUTE(SUBSTITUTE(UPPER('San Juan de Pastocalle'!$A$12:$A$40),"F",""),"M",""))^2)=730,SUMPRODUCT(('San Juan de Pastocalle'!$B$12:$B$40=D67)*(RIGHT('San Juan de Pastocalle'!$A$12:$A$40,1)="M"))=5,SUMPRODUCT(('San Juan de Pastocalle'!$B$12:$B$40=D67)*(RIGHT('San Juan de Pastocalle'!$A$12:$A$40,1)="M")*VALUE("0"&amp;SUBSTITUTE(SUBSTITUTE(UPPER('San Juan de Pastocalle'!$A$12:$A$40),"F",""),"M","")))=55,SUMPRODUCT(('San Juan de Pastocalle'!$B$12:$B$40=D67)*(RIGHT('San Juan de Pastocalle'!$A$12:$A$40,1)="M")*VALUE("0"&amp;SUBSTITUTE(SUBSTITUTE(UPPER('San Juan de Pastocalle'!$A$12:$A$40),"F",""),"M",""))^2)=615),"✔ Verificado","✖ Revisar"),"✖ Revisar")</f>
        <v>✖ Revisar</v>
      </c>
    </row>
    <row r="68" spans="1:16" x14ac:dyDescent="0.2">
      <c r="A68" s="32" t="s">
        <v>20</v>
      </c>
      <c r="B68" s="33" t="s">
        <v>336</v>
      </c>
      <c r="C68" s="33">
        <v>3106</v>
      </c>
      <c r="D68" s="32" t="s">
        <v>226</v>
      </c>
      <c r="E68" s="33">
        <v>327</v>
      </c>
      <c r="F68" s="33">
        <f>SUMIFS('San Juan de Pastocalle'!$E$5:$E$8,'San Juan de Pastocalle'!$B$5:$B$8,D68)</f>
        <v>327</v>
      </c>
      <c r="G68" s="33">
        <v>1</v>
      </c>
      <c r="H68" s="33">
        <f>COUNTIFS('San Juan de Pastocalle'!$B$12:$B$40,D68,'San Juan de Pastocalle'!$A$12:$A$40,"*F")</f>
        <v>1</v>
      </c>
      <c r="I68" s="33">
        <v>1</v>
      </c>
      <c r="J68" s="33">
        <f>COUNTIFS('San Juan de Pastocalle'!$B$12:$B$40,D68,'San Juan de Pastocalle'!$A$12:$A$40,"*M")</f>
        <v>1</v>
      </c>
      <c r="K68" s="33" t="s">
        <v>291</v>
      </c>
      <c r="L68" s="33" t="str">
        <f>IFERROR(IF(H68=0,"—",(1000-SUMPRODUCT(MAX(('San Juan de Pastocalle'!$B$12:$B$40=D68)*(RIGHT('San Juan de Pastocalle'!$A$12:$A$40,1)="F")*(1000-VALUE("0"&amp;SUBSTITUTE(SUBSTITUTE(UPPER('San Juan de Pastocalle'!$A$12:$A$40),"F",""),"M",""))))))&amp;"F – "&amp;SUMPRODUCT(MAX(('San Juan de Pastocalle'!$B$12:$B$40=D68)*(RIGHT('San Juan de Pastocalle'!$A$12:$A$40,1)="F")*VALUE("0"&amp;SUBSTITUTE(SUBSTITUTE(UPPER('San Juan de Pastocalle'!$A$12:$A$40),"F",""),"M",""))))&amp;"F"),"✖ error")</f>
        <v>✖ error</v>
      </c>
      <c r="M68" s="33" t="s">
        <v>292</v>
      </c>
      <c r="N68" s="33" t="str">
        <f>IFERROR(IF(J68=0,"—",(1000-SUMPRODUCT(MAX(('San Juan de Pastocalle'!$B$12:$B$40=D68)*(RIGHT('San Juan de Pastocalle'!$A$12:$A$40,1)="M")*(1000-VALUE("0"&amp;SUBSTITUTE(SUBSTITUTE(UPPER('San Juan de Pastocalle'!$A$12:$A$40),"F",""),"M",""))))))&amp;"M – "&amp;SUMPRODUCT(MAX(('San Juan de Pastocalle'!$B$12:$B$40=D68)*(RIGHT('San Juan de Pastocalle'!$A$12:$A$40,1)="M")*VALUE("0"&amp;SUBSTITUTE(SUBSTITUTE(UPPER('San Juan de Pastocalle'!$A$12:$A$40),"F",""),"M",""))))&amp;"M"),"✖ error")</f>
        <v>✖ error</v>
      </c>
      <c r="O68" s="33">
        <v>2</v>
      </c>
      <c r="P68" s="33" t="str">
        <f>IFERROR(IF(AND(E68=F68,G68=H68,I68=J68,K68=L68,M68=N68,SUMPRODUCT(('San Juan de Pastocalle'!$B$12:$B$40=D68)*(RIGHT('San Juan de Pastocalle'!$A$12:$A$40,1)="F"))=1,SUMPRODUCT(('San Juan de Pastocalle'!$B$12:$B$40=D68)*(RIGHT('San Juan de Pastocalle'!$A$12:$A$40,1)="F")*VALUE("0"&amp;SUBSTITUTE(SUBSTITUTE(UPPER('San Juan de Pastocalle'!$A$12:$A$40),"F",""),"M","")))=1,SUMPRODUCT(('San Juan de Pastocalle'!$B$12:$B$40=D68)*(RIGHT('San Juan de Pastocalle'!$A$12:$A$40,1)="F")*VALUE("0"&amp;SUBSTITUTE(SUBSTITUTE(UPPER('San Juan de Pastocalle'!$A$12:$A$40),"F",""),"M",""))^2)=1,SUMPRODUCT(('San Juan de Pastocalle'!$B$12:$B$40=D68)*(RIGHT('San Juan de Pastocalle'!$A$12:$A$40,1)="M"))=1,SUMPRODUCT(('San Juan de Pastocalle'!$B$12:$B$40=D68)*(RIGHT('San Juan de Pastocalle'!$A$12:$A$40,1)="M")*VALUE("0"&amp;SUBSTITUTE(SUBSTITUTE(UPPER('San Juan de Pastocalle'!$A$12:$A$40),"F",""),"M","")))=1,SUMPRODUCT(('San Juan de Pastocalle'!$B$12:$B$40=D68)*(RIGHT('San Juan de Pastocalle'!$A$12:$A$40,1)="M")*VALUE("0"&amp;SUBSTITUTE(SUBSTITUTE(UPPER('San Juan de Pastocalle'!$A$12:$A$40),"F",""),"M",""))^2)=1),"✔ Verificado","✖ Revisar"),"✖ Revisar")</f>
        <v>✖ Revisar</v>
      </c>
    </row>
    <row r="69" spans="1:16" x14ac:dyDescent="0.2">
      <c r="A69" s="32" t="s">
        <v>21</v>
      </c>
      <c r="B69" s="33" t="s">
        <v>266</v>
      </c>
      <c r="C69" s="33">
        <v>1791</v>
      </c>
      <c r="D69" s="32" t="s">
        <v>229</v>
      </c>
      <c r="E69" s="33">
        <v>5600</v>
      </c>
      <c r="F69" s="33">
        <f>SUMIFS(Tanicuchí!$E$5:$E$7,Tanicuchí!$B$5:$B$7,D69)</f>
        <v>5600</v>
      </c>
      <c r="G69" s="33">
        <v>8</v>
      </c>
      <c r="H69" s="33">
        <f>COUNTIFS(Tanicuchí!$B$11:$B$45,D69,Tanicuchí!$A$11:$A$45,"*F")</f>
        <v>8</v>
      </c>
      <c r="I69" s="33">
        <v>8</v>
      </c>
      <c r="J69" s="33">
        <f>COUNTIFS(Tanicuchí!$B$11:$B$45,D69,Tanicuchí!$A$11:$A$45,"*M")</f>
        <v>8</v>
      </c>
      <c r="K69" s="33" t="s">
        <v>293</v>
      </c>
      <c r="L69" s="33" t="str">
        <f>IFERROR(IF(H69=0,"—",(1000-SUMPRODUCT(MAX((Tanicuchí!$B$11:$B$45=D69)*(RIGHT(Tanicuchí!$A$11:$A$45,1)="F")*(1000-VALUE("0"&amp;SUBSTITUTE(SUBSTITUTE(UPPER(Tanicuchí!$A$11:$A$45),"F",""),"M",""))))))&amp;"F – "&amp;SUMPRODUCT(MAX((Tanicuchí!$B$11:$B$45=D69)*(RIGHT(Tanicuchí!$A$11:$A$45,1)="F")*VALUE("0"&amp;SUBSTITUTE(SUBSTITUTE(UPPER(Tanicuchí!$A$11:$A$45),"F",""),"M",""))))&amp;"F"),"✖ error")</f>
        <v>✖ error</v>
      </c>
      <c r="M69" s="33" t="s">
        <v>337</v>
      </c>
      <c r="N69" s="33" t="str">
        <f>IFERROR(IF(J69=0,"—",(1000-SUMPRODUCT(MAX((Tanicuchí!$B$11:$B$45=D69)*(RIGHT(Tanicuchí!$A$11:$A$45,1)="M")*(1000-VALUE("0"&amp;SUBSTITUTE(SUBSTITUTE(UPPER(Tanicuchí!$A$11:$A$45),"F",""),"M",""))))))&amp;"M – "&amp;SUMPRODUCT(MAX((Tanicuchí!$B$11:$B$45=D69)*(RIGHT(Tanicuchí!$A$11:$A$45,1)="M")*VALUE("0"&amp;SUBSTITUTE(SUBSTITUTE(UPPER(Tanicuchí!$A$11:$A$45),"F",""),"M",""))))&amp;"M"),"✖ error")</f>
        <v>✖ error</v>
      </c>
      <c r="O69" s="33">
        <v>16</v>
      </c>
      <c r="P69" s="33" t="str">
        <f>IFERROR(IF(AND(E69=F69,G69=H69,I69=J69,K69=L69,M69=N69,SUMPRODUCT((Tanicuchí!$B$11:$B$45=D69)*(RIGHT(Tanicuchí!$A$11:$A$45,1)="F"))=8,SUMPRODUCT((Tanicuchí!$B$11:$B$45=D69)*(RIGHT(Tanicuchí!$A$11:$A$45,1)="F")*VALUE("0"&amp;SUBSTITUTE(SUBSTITUTE(UPPER(Tanicuchí!$A$11:$A$45),"F",""),"M","")))=36,SUMPRODUCT((Tanicuchí!$B$11:$B$45=D69)*(RIGHT(Tanicuchí!$A$11:$A$45,1)="F")*VALUE("0"&amp;SUBSTITUTE(SUBSTITUTE(UPPER(Tanicuchí!$A$11:$A$45),"F",""),"M",""))^2)=204,SUMPRODUCT((Tanicuchí!$B$11:$B$45=D69)*(RIGHT(Tanicuchí!$A$11:$A$45,1)="M"))=8,SUMPRODUCT((Tanicuchí!$B$11:$B$45=D69)*(RIGHT(Tanicuchí!$A$11:$A$45,1)="M")*VALUE("0"&amp;SUBSTITUTE(SUBSTITUTE(UPPER(Tanicuchí!$A$11:$A$45),"F",""),"M","")))=36,SUMPRODUCT((Tanicuchí!$B$11:$B$45=D69)*(RIGHT(Tanicuchí!$A$11:$A$45,1)="M")*VALUE("0"&amp;SUBSTITUTE(SUBSTITUTE(UPPER(Tanicuchí!$A$11:$A$45),"F",""),"M",""))^2)=204),"✔ Verificado","✖ Revisar"),"✖ Revisar")</f>
        <v>✖ Revisar</v>
      </c>
    </row>
    <row r="70" spans="1:16" x14ac:dyDescent="0.2">
      <c r="A70" s="32" t="s">
        <v>21</v>
      </c>
      <c r="B70" s="33" t="s">
        <v>266</v>
      </c>
      <c r="C70" s="33">
        <v>1790</v>
      </c>
      <c r="D70" s="32" t="s">
        <v>231</v>
      </c>
      <c r="E70" s="33">
        <v>4200</v>
      </c>
      <c r="F70" s="33">
        <f>SUMIFS(Tanicuchí!$E$5:$E$7,Tanicuchí!$B$5:$B$7,D70)</f>
        <v>4200</v>
      </c>
      <c r="G70" s="33">
        <v>6</v>
      </c>
      <c r="H70" s="33">
        <f>COUNTIFS(Tanicuchí!$B$11:$B$45,D70,Tanicuchí!$A$11:$A$45,"*F")</f>
        <v>6</v>
      </c>
      <c r="I70" s="33">
        <v>6</v>
      </c>
      <c r="J70" s="33">
        <f>COUNTIFS(Tanicuchí!$B$11:$B$45,D70,Tanicuchí!$A$11:$A$45,"*M")</f>
        <v>6</v>
      </c>
      <c r="K70" s="33" t="s">
        <v>338</v>
      </c>
      <c r="L70" s="33" t="str">
        <f>IFERROR(IF(H70=0,"—",(1000-SUMPRODUCT(MAX((Tanicuchí!$B$11:$B$45=D70)*(RIGHT(Tanicuchí!$A$11:$A$45,1)="F")*(1000-VALUE("0"&amp;SUBSTITUTE(SUBSTITUTE(UPPER(Tanicuchí!$A$11:$A$45),"F",""),"M",""))))))&amp;"F – "&amp;SUMPRODUCT(MAX((Tanicuchí!$B$11:$B$45=D70)*(RIGHT(Tanicuchí!$A$11:$A$45,1)="F")*VALUE("0"&amp;SUBSTITUTE(SUBSTITUTE(UPPER(Tanicuchí!$A$11:$A$45),"F",""),"M",""))))&amp;"F"),"✖ error")</f>
        <v>✖ error</v>
      </c>
      <c r="M70" s="33" t="s">
        <v>339</v>
      </c>
      <c r="N70" s="33" t="str">
        <f>IFERROR(IF(J70=0,"—",(1000-SUMPRODUCT(MAX((Tanicuchí!$B$11:$B$45=D70)*(RIGHT(Tanicuchí!$A$11:$A$45,1)="M")*(1000-VALUE("0"&amp;SUBSTITUTE(SUBSTITUTE(UPPER(Tanicuchí!$A$11:$A$45),"F",""),"M",""))))))&amp;"M – "&amp;SUMPRODUCT(MAX((Tanicuchí!$B$11:$B$45=D70)*(RIGHT(Tanicuchí!$A$11:$A$45,1)="M")*VALUE("0"&amp;SUBSTITUTE(SUBSTITUTE(UPPER(Tanicuchí!$A$11:$A$45),"F",""),"M",""))))&amp;"M"),"✖ error")</f>
        <v>✖ error</v>
      </c>
      <c r="O70" s="33">
        <v>12</v>
      </c>
      <c r="P70" s="33" t="str">
        <f>IFERROR(IF(AND(E70=F70,G70=H70,I70=J70,K70=L70,M70=N70,SUMPRODUCT((Tanicuchí!$B$11:$B$45=D70)*(RIGHT(Tanicuchí!$A$11:$A$45,1)="F"))=6,SUMPRODUCT((Tanicuchí!$B$11:$B$45=D70)*(RIGHT(Tanicuchí!$A$11:$A$45,1)="F")*VALUE("0"&amp;SUBSTITUTE(SUBSTITUTE(UPPER(Tanicuchí!$A$11:$A$45),"F",""),"M","")))=69,SUMPRODUCT((Tanicuchí!$B$11:$B$45=D70)*(RIGHT(Tanicuchí!$A$11:$A$45,1)="F")*VALUE("0"&amp;SUBSTITUTE(SUBSTITUTE(UPPER(Tanicuchí!$A$11:$A$45),"F",""),"M",""))^2)=811,SUMPRODUCT((Tanicuchí!$B$11:$B$45=D70)*(RIGHT(Tanicuchí!$A$11:$A$45,1)="M"))=6,SUMPRODUCT((Tanicuchí!$B$11:$B$45=D70)*(RIGHT(Tanicuchí!$A$11:$A$45,1)="M")*VALUE("0"&amp;SUBSTITUTE(SUBSTITUTE(UPPER(Tanicuchí!$A$11:$A$45),"F",""),"M","")))=69,SUMPRODUCT((Tanicuchí!$B$11:$B$45=D70)*(RIGHT(Tanicuchí!$A$11:$A$45,1)="M")*VALUE("0"&amp;SUBSTITUTE(SUBSTITUTE(UPPER(Tanicuchí!$A$11:$A$45),"F",""),"M",""))^2)=811),"✔ Verificado","✖ Revisar"),"✖ Revisar")</f>
        <v>✖ Revisar</v>
      </c>
    </row>
    <row r="71" spans="1:16" x14ac:dyDescent="0.2">
      <c r="A71" s="32" t="s">
        <v>21</v>
      </c>
      <c r="B71" s="33" t="s">
        <v>266</v>
      </c>
      <c r="C71" s="33">
        <v>6311</v>
      </c>
      <c r="D71" s="32" t="s">
        <v>232</v>
      </c>
      <c r="E71" s="33">
        <v>1997</v>
      </c>
      <c r="F71" s="33">
        <f>SUMIFS(Tanicuchí!$E$5:$E$7,Tanicuchí!$B$5:$B$7,D71)</f>
        <v>1997</v>
      </c>
      <c r="G71" s="33">
        <v>4</v>
      </c>
      <c r="H71" s="33">
        <f>COUNTIFS(Tanicuchí!$B$11:$B$45,D71,Tanicuchí!$A$11:$A$45,"*F")</f>
        <v>4</v>
      </c>
      <c r="I71" s="33">
        <v>3</v>
      </c>
      <c r="J71" s="33">
        <f>COUNTIFS(Tanicuchí!$B$11:$B$45,D71,Tanicuchí!$A$11:$A$45,"*M")</f>
        <v>3</v>
      </c>
      <c r="K71" s="33" t="s">
        <v>340</v>
      </c>
      <c r="L71" s="33" t="str">
        <f>IFERROR(IF(H71=0,"—",(1000-SUMPRODUCT(MAX((Tanicuchí!$B$11:$B$45=D71)*(RIGHT(Tanicuchí!$A$11:$A$45,1)="F")*(1000-VALUE("0"&amp;SUBSTITUTE(SUBSTITUTE(UPPER(Tanicuchí!$A$11:$A$45),"F",""),"M",""))))))&amp;"F – "&amp;SUMPRODUCT(MAX((Tanicuchí!$B$11:$B$45=D71)*(RIGHT(Tanicuchí!$A$11:$A$45,1)="F")*VALUE("0"&amp;SUBSTITUTE(SUBSTITUTE(UPPER(Tanicuchí!$A$11:$A$45),"F",""),"M",""))))&amp;"F"),"✖ error")</f>
        <v>✖ error</v>
      </c>
      <c r="M71" s="33" t="s">
        <v>341</v>
      </c>
      <c r="N71" s="33" t="str">
        <f>IFERROR(IF(J71=0,"—",(1000-SUMPRODUCT(MAX((Tanicuchí!$B$11:$B$45=D71)*(RIGHT(Tanicuchí!$A$11:$A$45,1)="M")*(1000-VALUE("0"&amp;SUBSTITUTE(SUBSTITUTE(UPPER(Tanicuchí!$A$11:$A$45),"F",""),"M",""))))))&amp;"M – "&amp;SUMPRODUCT(MAX((Tanicuchí!$B$11:$B$45=D71)*(RIGHT(Tanicuchí!$A$11:$A$45,1)="M")*VALUE("0"&amp;SUBSTITUTE(SUBSTITUTE(UPPER(Tanicuchí!$A$11:$A$45),"F",""),"M",""))))&amp;"M"),"✖ error")</f>
        <v>✖ error</v>
      </c>
      <c r="O71" s="33">
        <v>7</v>
      </c>
      <c r="P71" s="33" t="str">
        <f>IFERROR(IF(AND(E71=F71,G71=H71,I71=J71,K71=L71,M71=N71,SUMPRODUCT((Tanicuchí!$B$11:$B$45=D71)*(RIGHT(Tanicuchí!$A$11:$A$45,1)="F"))=4,SUMPRODUCT((Tanicuchí!$B$11:$B$45=D71)*(RIGHT(Tanicuchí!$A$11:$A$45,1)="F")*VALUE("0"&amp;SUBSTITUTE(SUBSTITUTE(UPPER(Tanicuchí!$A$11:$A$45),"F",""),"M","")))=66,SUMPRODUCT((Tanicuchí!$B$11:$B$45=D71)*(RIGHT(Tanicuchí!$A$11:$A$45,1)="F")*VALUE("0"&amp;SUBSTITUTE(SUBSTITUTE(UPPER(Tanicuchí!$A$11:$A$45),"F",""),"M",""))^2)=1094,SUMPRODUCT((Tanicuchí!$B$11:$B$45=D71)*(RIGHT(Tanicuchí!$A$11:$A$45,1)="M"))=3,SUMPRODUCT((Tanicuchí!$B$11:$B$45=D71)*(RIGHT(Tanicuchí!$A$11:$A$45,1)="M")*VALUE("0"&amp;SUBSTITUTE(SUBSTITUTE(UPPER(Tanicuchí!$A$11:$A$45),"F",""),"M","")))=48,SUMPRODUCT((Tanicuchí!$B$11:$B$45=D71)*(RIGHT(Tanicuchí!$A$11:$A$45,1)="M")*VALUE("0"&amp;SUBSTITUTE(SUBSTITUTE(UPPER(Tanicuchí!$A$11:$A$45),"F",""),"M",""))^2)=770),"✔ Verificado","✖ Revisar"),"✖ Revisar")</f>
        <v>✖ Revisar</v>
      </c>
    </row>
    <row r="72" spans="1:16" x14ac:dyDescent="0.2">
      <c r="A72" s="32" t="s">
        <v>22</v>
      </c>
      <c r="B72" s="33" t="s">
        <v>266</v>
      </c>
      <c r="C72" s="33">
        <v>1573</v>
      </c>
      <c r="D72" s="32" t="s">
        <v>235</v>
      </c>
      <c r="E72" s="33">
        <v>3500</v>
      </c>
      <c r="F72" s="33">
        <f>SUMIFS(Toacaso!$E$5:$E$7,Toacaso!$B$5:$B$7,D72)</f>
        <v>3500</v>
      </c>
      <c r="G72" s="33">
        <v>5</v>
      </c>
      <c r="H72" s="33">
        <f>COUNTIFS(Toacaso!$B$11:$B$41,D72,Toacaso!$A$11:$A$41,"*F")</f>
        <v>5</v>
      </c>
      <c r="I72" s="33">
        <v>5</v>
      </c>
      <c r="J72" s="33">
        <f>COUNTIFS(Toacaso!$B$11:$B$41,D72,Toacaso!$A$11:$A$41,"*M")</f>
        <v>5</v>
      </c>
      <c r="K72" s="33" t="s">
        <v>321</v>
      </c>
      <c r="L72" s="33" t="str">
        <f>IFERROR(IF(H72=0,"—",(1000-SUMPRODUCT(MAX((Toacaso!$B$11:$B$41=D72)*(RIGHT(Toacaso!$A$11:$A$41,1)="F")*(1000-VALUE("0"&amp;SUBSTITUTE(SUBSTITUTE(UPPER(Toacaso!$A$11:$A$41),"F",""),"M",""))))))&amp;"F – "&amp;SUMPRODUCT(MAX((Toacaso!$B$11:$B$41=D72)*(RIGHT(Toacaso!$A$11:$A$41,1)="F")*VALUE("0"&amp;SUBSTITUTE(SUBSTITUTE(UPPER(Toacaso!$A$11:$A$41),"F",""),"M",""))))&amp;"F"),"✖ error")</f>
        <v>✖ error</v>
      </c>
      <c r="M72" s="33" t="s">
        <v>268</v>
      </c>
      <c r="N72" s="33" t="str">
        <f>IFERROR(IF(J72=0,"—",(1000-SUMPRODUCT(MAX((Toacaso!$B$11:$B$41=D72)*(RIGHT(Toacaso!$A$11:$A$41,1)="M")*(1000-VALUE("0"&amp;SUBSTITUTE(SUBSTITUTE(UPPER(Toacaso!$A$11:$A$41),"F",""),"M",""))))))&amp;"M – "&amp;SUMPRODUCT(MAX((Toacaso!$B$11:$B$41=D72)*(RIGHT(Toacaso!$A$11:$A$41,1)="M")*VALUE("0"&amp;SUBSTITUTE(SUBSTITUTE(UPPER(Toacaso!$A$11:$A$41),"F",""),"M",""))))&amp;"M"),"✖ error")</f>
        <v>✖ error</v>
      </c>
      <c r="O72" s="33">
        <v>10</v>
      </c>
      <c r="P72" s="33" t="str">
        <f>IFERROR(IF(AND(E72=F72,G72=H72,I72=J72,K72=L72,M72=N72,SUMPRODUCT((Toacaso!$B$11:$B$41=D72)*(RIGHT(Toacaso!$A$11:$A$41,1)="F"))=5,SUMPRODUCT((Toacaso!$B$11:$B$41=D72)*(RIGHT(Toacaso!$A$11:$A$41,1)="F")*VALUE("0"&amp;SUBSTITUTE(SUBSTITUTE(UPPER(Toacaso!$A$11:$A$41),"F",""),"M","")))=15,SUMPRODUCT((Toacaso!$B$11:$B$41=D72)*(RIGHT(Toacaso!$A$11:$A$41,1)="F")*VALUE("0"&amp;SUBSTITUTE(SUBSTITUTE(UPPER(Toacaso!$A$11:$A$41),"F",""),"M",""))^2)=55,SUMPRODUCT((Toacaso!$B$11:$B$41=D72)*(RIGHT(Toacaso!$A$11:$A$41,1)="M"))=5,SUMPRODUCT((Toacaso!$B$11:$B$41=D72)*(RIGHT(Toacaso!$A$11:$A$41,1)="M")*VALUE("0"&amp;SUBSTITUTE(SUBSTITUTE(UPPER(Toacaso!$A$11:$A$41),"F",""),"M","")))=15,SUMPRODUCT((Toacaso!$B$11:$B$41=D72)*(RIGHT(Toacaso!$A$11:$A$41,1)="M")*VALUE("0"&amp;SUBSTITUTE(SUBSTITUTE(UPPER(Toacaso!$A$11:$A$41),"F",""),"M",""))^2)=55),"✔ Verificado","✖ Revisar"),"✖ Revisar")</f>
        <v>✖ Revisar</v>
      </c>
    </row>
    <row r="73" spans="1:16" x14ac:dyDescent="0.2">
      <c r="A73" s="32" t="s">
        <v>22</v>
      </c>
      <c r="B73" s="33" t="s">
        <v>266</v>
      </c>
      <c r="C73" s="33">
        <v>1574</v>
      </c>
      <c r="D73" s="32" t="s">
        <v>237</v>
      </c>
      <c r="E73" s="33">
        <v>3500</v>
      </c>
      <c r="F73" s="33">
        <f>SUMIFS(Toacaso!$E$5:$E$7,Toacaso!$B$5:$B$7,D73)</f>
        <v>3500</v>
      </c>
      <c r="G73" s="33">
        <v>5</v>
      </c>
      <c r="H73" s="33">
        <f>COUNTIFS(Toacaso!$B$11:$B$41,D73,Toacaso!$A$11:$A$41,"*F")</f>
        <v>5</v>
      </c>
      <c r="I73" s="33">
        <v>5</v>
      </c>
      <c r="J73" s="33">
        <f>COUNTIFS(Toacaso!$B$11:$B$41,D73,Toacaso!$A$11:$A$41,"*M")</f>
        <v>5</v>
      </c>
      <c r="K73" s="33" t="s">
        <v>322</v>
      </c>
      <c r="L73" s="33" t="str">
        <f>IFERROR(IF(H73=0,"—",(1000-SUMPRODUCT(MAX((Toacaso!$B$11:$B$41=D73)*(RIGHT(Toacaso!$A$11:$A$41,1)="F")*(1000-VALUE("0"&amp;SUBSTITUTE(SUBSTITUTE(UPPER(Toacaso!$A$11:$A$41),"F",""),"M",""))))))&amp;"F – "&amp;SUMPRODUCT(MAX((Toacaso!$B$11:$B$41=D73)*(RIGHT(Toacaso!$A$11:$A$41,1)="F")*VALUE("0"&amp;SUBSTITUTE(SUBSTITUTE(UPPER(Toacaso!$A$11:$A$41),"F",""),"M",""))))&amp;"F"),"✖ error")</f>
        <v>✖ error</v>
      </c>
      <c r="M73" s="33" t="s">
        <v>342</v>
      </c>
      <c r="N73" s="33" t="str">
        <f>IFERROR(IF(J73=0,"—",(1000-SUMPRODUCT(MAX((Toacaso!$B$11:$B$41=D73)*(RIGHT(Toacaso!$A$11:$A$41,1)="M")*(1000-VALUE("0"&amp;SUBSTITUTE(SUBSTITUTE(UPPER(Toacaso!$A$11:$A$41),"F",""),"M",""))))))&amp;"M – "&amp;SUMPRODUCT(MAX((Toacaso!$B$11:$B$41=D73)*(RIGHT(Toacaso!$A$11:$A$41,1)="M")*VALUE("0"&amp;SUBSTITUTE(SUBSTITUTE(UPPER(Toacaso!$A$11:$A$41),"F",""),"M",""))))&amp;"M"),"✖ error")</f>
        <v>✖ error</v>
      </c>
      <c r="O73" s="33">
        <v>10</v>
      </c>
      <c r="P73" s="33" t="str">
        <f>IFERROR(IF(AND(E73=F73,G73=H73,I73=J73,K73=L73,M73=N73,SUMPRODUCT((Toacaso!$B$11:$B$41=D73)*(RIGHT(Toacaso!$A$11:$A$41,1)="F"))=5,SUMPRODUCT((Toacaso!$B$11:$B$41=D73)*(RIGHT(Toacaso!$A$11:$A$41,1)="F")*VALUE("0"&amp;SUBSTITUTE(SUBSTITUTE(UPPER(Toacaso!$A$11:$A$41),"F",""),"M","")))=40,SUMPRODUCT((Toacaso!$B$11:$B$41=D73)*(RIGHT(Toacaso!$A$11:$A$41,1)="F")*VALUE("0"&amp;SUBSTITUTE(SUBSTITUTE(UPPER(Toacaso!$A$11:$A$41),"F",""),"M",""))^2)=330,SUMPRODUCT((Toacaso!$B$11:$B$41=D73)*(RIGHT(Toacaso!$A$11:$A$41,1)="M"))=5,SUMPRODUCT((Toacaso!$B$11:$B$41=D73)*(RIGHT(Toacaso!$A$11:$A$41,1)="M")*VALUE("0"&amp;SUBSTITUTE(SUBSTITUTE(UPPER(Toacaso!$A$11:$A$41),"F",""),"M","")))=40,SUMPRODUCT((Toacaso!$B$11:$B$41=D73)*(RIGHT(Toacaso!$A$11:$A$41,1)="M")*VALUE("0"&amp;SUBSTITUTE(SUBSTITUTE(UPPER(Toacaso!$A$11:$A$41),"F",""),"M",""))^2)=330),"✔ Verificado","✖ Revisar"),"✖ Revisar")</f>
        <v>✖ Revisar</v>
      </c>
    </row>
    <row r="74" spans="1:16" x14ac:dyDescent="0.2">
      <c r="A74" s="32" t="s">
        <v>22</v>
      </c>
      <c r="B74" s="33" t="s">
        <v>266</v>
      </c>
      <c r="C74" s="33">
        <v>6312</v>
      </c>
      <c r="D74" s="32" t="s">
        <v>239</v>
      </c>
      <c r="E74" s="33">
        <v>3306</v>
      </c>
      <c r="F74" s="33">
        <f>SUMIFS(Toacaso!$E$5:$E$7,Toacaso!$B$5:$B$7,D74)</f>
        <v>3306</v>
      </c>
      <c r="G74" s="33">
        <v>6</v>
      </c>
      <c r="H74" s="33">
        <f>COUNTIFS(Toacaso!$B$11:$B$41,D74,Toacaso!$A$11:$A$41,"*F")</f>
        <v>6</v>
      </c>
      <c r="I74" s="33">
        <v>5</v>
      </c>
      <c r="J74" s="33">
        <f>COUNTIFS(Toacaso!$B$11:$B$41,D74,Toacaso!$A$11:$A$41,"*M")</f>
        <v>5</v>
      </c>
      <c r="K74" s="33" t="s">
        <v>343</v>
      </c>
      <c r="L74" s="33" t="str">
        <f>IFERROR(IF(H74=0,"—",(1000-SUMPRODUCT(MAX((Toacaso!$B$11:$B$41=D74)*(RIGHT(Toacaso!$A$11:$A$41,1)="F")*(1000-VALUE("0"&amp;SUBSTITUTE(SUBSTITUTE(UPPER(Toacaso!$A$11:$A$41),"F",""),"M",""))))))&amp;"F – "&amp;SUMPRODUCT(MAX((Toacaso!$B$11:$B$41=D74)*(RIGHT(Toacaso!$A$11:$A$41,1)="F")*VALUE("0"&amp;SUBSTITUTE(SUBSTITUTE(UPPER(Toacaso!$A$11:$A$41),"F",""),"M",""))))&amp;"F"),"✖ error")</f>
        <v>✖ error</v>
      </c>
      <c r="M74" s="33" t="s">
        <v>298</v>
      </c>
      <c r="N74" s="33" t="str">
        <f>IFERROR(IF(J74=0,"—",(1000-SUMPRODUCT(MAX((Toacaso!$B$11:$B$41=D74)*(RIGHT(Toacaso!$A$11:$A$41,1)="M")*(1000-VALUE("0"&amp;SUBSTITUTE(SUBSTITUTE(UPPER(Toacaso!$A$11:$A$41),"F",""),"M",""))))))&amp;"M – "&amp;SUMPRODUCT(MAX((Toacaso!$B$11:$B$41=D74)*(RIGHT(Toacaso!$A$11:$A$41,1)="M")*VALUE("0"&amp;SUBSTITUTE(SUBSTITUTE(UPPER(Toacaso!$A$11:$A$41),"F",""),"M",""))))&amp;"M"),"✖ error")</f>
        <v>✖ error</v>
      </c>
      <c r="O74" s="33">
        <v>11</v>
      </c>
      <c r="P74" s="33" t="str">
        <f>IFERROR(IF(AND(E74=F74,G74=H74,I74=J74,K74=L74,M74=N74,SUMPRODUCT((Toacaso!$B$11:$B$41=D74)*(RIGHT(Toacaso!$A$11:$A$41,1)="F"))=6,SUMPRODUCT((Toacaso!$B$11:$B$41=D74)*(RIGHT(Toacaso!$A$11:$A$41,1)="F")*VALUE("0"&amp;SUBSTITUTE(SUBSTITUTE(UPPER(Toacaso!$A$11:$A$41),"F",""),"M","")))=81,SUMPRODUCT((Toacaso!$B$11:$B$41=D74)*(RIGHT(Toacaso!$A$11:$A$41,1)="F")*VALUE("0"&amp;SUBSTITUTE(SUBSTITUTE(UPPER(Toacaso!$A$11:$A$41),"F",""),"M",""))^2)=1111,SUMPRODUCT((Toacaso!$B$11:$B$41=D74)*(RIGHT(Toacaso!$A$11:$A$41,1)="M"))=5,SUMPRODUCT((Toacaso!$B$11:$B$41=D74)*(RIGHT(Toacaso!$A$11:$A$41,1)="M")*VALUE("0"&amp;SUBSTITUTE(SUBSTITUTE(UPPER(Toacaso!$A$11:$A$41),"F",""),"M","")))=65,SUMPRODUCT((Toacaso!$B$11:$B$41=D74)*(RIGHT(Toacaso!$A$11:$A$41,1)="M")*VALUE("0"&amp;SUBSTITUTE(SUBSTITUTE(UPPER(Toacaso!$A$11:$A$41),"F",""),"M",""))^2)=855),"✔ Verificado","✖ Revisar"),"✖ Revisar")</f>
        <v>✖ Revisar</v>
      </c>
    </row>
  </sheetData>
  <mergeCells count="2">
    <mergeCell ref="A5:P5"/>
    <mergeCell ref="A24:P24"/>
  </mergeCells>
  <conditionalFormatting sqref="F7:F22">
    <cfRule type="expression" dxfId="3" priority="1">
      <formula>F7="✔ Verificado"</formula>
    </cfRule>
    <cfRule type="expression" dxfId="2" priority="2">
      <formula>F7="✖ Revisar"</formula>
    </cfRule>
  </conditionalFormatting>
  <conditionalFormatting sqref="P26:P74">
    <cfRule type="expression" dxfId="1" priority="3">
      <formula>P26="✔ Verificado"</formula>
    </cfRule>
    <cfRule type="expression" dxfId="0" priority="4">
      <formula>P26="✖ Revisar"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1000"/>
  <sheetViews>
    <sheetView workbookViewId="0"/>
  </sheetViews>
  <sheetFormatPr baseColWidth="10" defaultColWidth="14.5" defaultRowHeight="15" customHeight="1" x14ac:dyDescent="0.2"/>
  <cols>
    <col min="1" max="1" width="120" customWidth="1"/>
    <col min="2" max="26" width="8.6640625" customWidth="1"/>
  </cols>
  <sheetData>
    <row r="1" spans="1:1" x14ac:dyDescent="0.2">
      <c r="A1" s="20" t="s">
        <v>344</v>
      </c>
    </row>
    <row r="2" spans="1:1" x14ac:dyDescent="0.2">
      <c r="A2" s="21"/>
    </row>
    <row r="3" spans="1:1" x14ac:dyDescent="0.2">
      <c r="A3" s="21" t="s">
        <v>345</v>
      </c>
    </row>
    <row r="4" spans="1:1" x14ac:dyDescent="0.2">
      <c r="A4" s="21" t="s">
        <v>346</v>
      </c>
    </row>
    <row r="5" spans="1:1" x14ac:dyDescent="0.2">
      <c r="A5" s="21"/>
    </row>
    <row r="6" spans="1:1" x14ac:dyDescent="0.2">
      <c r="A6" s="20" t="s">
        <v>347</v>
      </c>
    </row>
    <row r="7" spans="1:1" x14ac:dyDescent="0.2">
      <c r="A7" s="21" t="s">
        <v>348</v>
      </c>
    </row>
    <row r="8" spans="1:1" x14ac:dyDescent="0.2">
      <c r="A8" s="21" t="s">
        <v>349</v>
      </c>
    </row>
    <row r="9" spans="1:1" x14ac:dyDescent="0.2">
      <c r="A9" s="21" t="s">
        <v>350</v>
      </c>
    </row>
    <row r="10" spans="1:1" x14ac:dyDescent="0.2">
      <c r="A10" s="21" t="s">
        <v>351</v>
      </c>
    </row>
    <row r="11" spans="1:1" x14ac:dyDescent="0.2">
      <c r="A11" s="21" t="s">
        <v>352</v>
      </c>
    </row>
    <row r="12" spans="1:1" x14ac:dyDescent="0.2">
      <c r="A12" s="21" t="s">
        <v>353</v>
      </c>
    </row>
    <row r="13" spans="1:1" x14ac:dyDescent="0.2">
      <c r="A13" s="21" t="s">
        <v>354</v>
      </c>
    </row>
    <row r="14" spans="1:1" x14ac:dyDescent="0.2">
      <c r="A14" s="21" t="s">
        <v>355</v>
      </c>
    </row>
    <row r="15" spans="1:1" x14ac:dyDescent="0.2">
      <c r="A15" s="21" t="s">
        <v>356</v>
      </c>
    </row>
    <row r="16" spans="1:1" x14ac:dyDescent="0.2">
      <c r="A16" s="21"/>
    </row>
    <row r="17" spans="1:1" x14ac:dyDescent="0.2">
      <c r="A17" s="20" t="s">
        <v>357</v>
      </c>
    </row>
    <row r="18" spans="1:1" x14ac:dyDescent="0.2">
      <c r="A18" s="21" t="s">
        <v>358</v>
      </c>
    </row>
    <row r="19" spans="1:1" x14ac:dyDescent="0.2">
      <c r="A19" s="21" t="s">
        <v>359</v>
      </c>
    </row>
    <row r="20" spans="1:1" x14ac:dyDescent="0.2">
      <c r="A20" s="21" t="s">
        <v>360</v>
      </c>
    </row>
    <row r="21" spans="1:1" ht="15.75" customHeight="1" x14ac:dyDescent="0.2">
      <c r="A21" s="21" t="s">
        <v>361</v>
      </c>
    </row>
    <row r="22" spans="1:1" ht="15.75" customHeight="1" x14ac:dyDescent="0.2">
      <c r="A22" s="21" t="s">
        <v>362</v>
      </c>
    </row>
    <row r="23" spans="1:1" ht="15.75" customHeight="1" x14ac:dyDescent="0.2">
      <c r="A23" s="21" t="s">
        <v>363</v>
      </c>
    </row>
    <row r="24" spans="1:1" ht="15.75" customHeight="1" x14ac:dyDescent="0.2">
      <c r="A24" s="21" t="s">
        <v>364</v>
      </c>
    </row>
    <row r="25" spans="1:1" ht="15.75" customHeight="1" x14ac:dyDescent="0.2">
      <c r="A25" s="21"/>
    </row>
    <row r="26" spans="1:1" ht="15.75" customHeight="1" x14ac:dyDescent="0.2">
      <c r="A26" s="20" t="s">
        <v>365</v>
      </c>
    </row>
    <row r="27" spans="1:1" ht="15.75" customHeight="1" x14ac:dyDescent="0.2">
      <c r="A27" s="22" t="s">
        <v>366</v>
      </c>
    </row>
    <row r="28" spans="1:1" ht="15.75" customHeight="1" x14ac:dyDescent="0.2"/>
    <row r="29" spans="1:1" ht="15.75" customHeight="1" x14ac:dyDescent="0.2"/>
    <row r="30" spans="1:1" ht="15.75" customHeight="1" x14ac:dyDescent="0.2"/>
    <row r="31" spans="1:1" ht="15.75" customHeight="1" x14ac:dyDescent="0.2"/>
    <row r="32" spans="1: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G1"/>
  <sheetViews>
    <sheetView workbookViewId="0"/>
  </sheetViews>
  <sheetFormatPr baseColWidth="10" defaultColWidth="14.5" defaultRowHeight="15" customHeight="1" x14ac:dyDescent="0.2"/>
  <sheetData>
    <row r="1" spans="1:7" x14ac:dyDescent="0.2">
      <c r="A1" s="23" t="s">
        <v>367</v>
      </c>
      <c r="B1" s="23" t="s">
        <v>368</v>
      </c>
      <c r="C1" s="23" t="s">
        <v>369</v>
      </c>
      <c r="D1" s="23" t="s">
        <v>370</v>
      </c>
      <c r="E1" s="23" t="s">
        <v>371</v>
      </c>
      <c r="F1" s="23" t="s">
        <v>372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B1"/>
  <sheetViews>
    <sheetView workbookViewId="0"/>
  </sheetViews>
  <sheetFormatPr baseColWidth="10" defaultColWidth="14.5" defaultRowHeight="15" customHeight="1" x14ac:dyDescent="0.2"/>
  <sheetData>
    <row r="1" spans="1:2" x14ac:dyDescent="0.2">
      <c r="A1" s="23" t="s">
        <v>367</v>
      </c>
      <c r="B1" s="23" t="s">
        <v>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Índice</vt:lpstr>
      <vt:lpstr>Eloy Alfaro (San Felipe)</vt:lpstr>
      <vt:lpstr>Ignacio Flores</vt:lpstr>
      <vt:lpstr>Juan Montalvo (San Sebastián)</vt:lpstr>
      <vt:lpstr>La Matriz</vt:lpstr>
      <vt:lpstr>San Buenaventura</vt:lpstr>
      <vt:lpstr>Aláquez</vt:lpstr>
      <vt:lpstr>Belisario Quevedo</vt:lpstr>
      <vt:lpstr>Guaytacama</vt:lpstr>
      <vt:lpstr>Joséguango Bajo (Santa Marianit</vt:lpstr>
      <vt:lpstr>Mulaló</vt:lpstr>
      <vt:lpstr>Once de Noviembre (Ilinchisí)</vt:lpstr>
      <vt:lpstr>Poaló</vt:lpstr>
      <vt:lpstr>San Juan de Pastocalle</vt:lpstr>
      <vt:lpstr>Tanicuchí</vt:lpstr>
      <vt:lpstr>Toacaso</vt:lpstr>
      <vt:lpstr>Verificado</vt:lpstr>
      <vt:lpstr>Notas</vt:lpstr>
      <vt:lpstr>Historial_Ediciones</vt:lpstr>
      <vt:lpstr>Historial_Accesos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Mapeo Latacunga</cp:lastModifiedBy>
  <dcterms:created xsi:type="dcterms:W3CDTF">2026-10-07T23:15:51Z</dcterms:created>
  <dcterms:modified xsi:type="dcterms:W3CDTF">2026-10-08T13:07:32Z</dcterms:modified>
</cp:coreProperties>
</file>